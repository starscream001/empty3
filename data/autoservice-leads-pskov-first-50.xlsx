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7160f843ba47f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водка" sheetId="1" r:id="Raa3567ef255d4248"/>
    <x:sheet xmlns:r="http://schemas.openxmlformats.org/officeDocument/2006/relationships" name="Лиды 50" sheetId="2" r:id="R99408712a7a745f6"/>
    <x:sheet xmlns:r="http://schemas.openxmlformats.org/officeDocument/2006/relationships" name="Демо-конфиги" sheetId="3" r:id="R02012739cf21425e"/>
    <x:sheet xmlns:r="http://schemas.openxmlformats.org/officeDocument/2006/relationships" name="Справка" sheetId="4" r:id="Rdacc8468f15249b9"/>
    <x:sheet xmlns:r="http://schemas.openxmlformats.org/officeDocument/2006/relationships" name="Демо-ссылки" sheetId="5" r:id="R195c37fad6d44d3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"/>
    <x:numFmt numFmtId="201" formatCode="0"/>
    <x:numFmt numFmtId="202" formatCode="yyyy-mm-dd"/>
  </x:numFmts>
  <x:fonts count="11">
    <x:font>
      <x:sz val="11"/>
      <x:name val="Carlito"/>
    </x:font>
    <x:font>
      <x:b/>
      <x:sz val="18"/>
      <x:color rgb="FFFFFFFF"/>
      <x:name val="Carlito"/>
    </x:font>
    <x:font>
      <x:sz val="10"/>
      <x:color rgb="FFDCE7EC"/>
      <x:name val="Carlito"/>
    </x:font>
    <x:font>
      <x:b/>
      <x:sz val="11"/>
      <x:color rgb="FFFFFFFF"/>
      <x:name val="Carlito"/>
    </x:font>
    <x:font>
      <x:b/>
      <x:sz val="11"/>
      <x:color rgb="FF16202A"/>
      <x:name val="Carlito"/>
    </x:font>
    <x:font>
      <x:sz val="10"/>
      <x:color rgb="FF16202A"/>
      <x:name val="Carlito"/>
    </x:font>
    <x:font>
      <x:b/>
      <x:sz val="10"/>
      <x:color rgb="FF0B5C56"/>
      <x:name val="Carlito"/>
    </x:font>
    <x:font>
      <x:b/>
      <x:sz val="10"/>
      <x:color rgb="FFFFFFFF"/>
      <x:name val="Carlito"/>
    </x:font>
    <x:font>
      <x:sz val="11"/>
      <x:color rgb="FF0F5F8D"/>
      <x:name val="Carlito"/>
    </x:font>
    <x:font>
      <x:b/>
      <x:sz val="16"/>
      <x:color rgb="FFFFFFFF"/>
      <x:name val="Carlito"/>
    </x:font>
    <x:font>
      <x:sz val="10"/>
      <x:color rgb="FFD7E5E3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6202A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F4B860"/>
      </x:patternFill>
    </x:fill>
    <x:fill>
      <x:patternFill patternType="solid">
        <x:fgColor rgb="FFFFF6E4"/>
      </x:patternFill>
    </x:fill>
    <x:fill>
      <x:patternFill patternType="solid">
        <x:fgColor rgb="FFE7F6F3"/>
      </x:patternFill>
    </x:fill>
    <x:fill>
      <x:patternFill patternType="solid">
        <x:fgColor rgb="FFF3FBF9"/>
      </x:patternFill>
    </x:fill>
    <x:fill>
      <x:patternFill patternType="solid">
        <x:fgColor rgb="FF0F766E"/>
      </x:patternFill>
    </x:fill>
    <x:fill>
      <x:patternFill patternType="solid">
        <x:fgColor rgb="FF17212B"/>
      </x:patternFill>
    </x:fill>
  </x:fills>
  <x:borders count="13">
    <x:border/>
    <x:border>
      <x:left style="thin">
        <x:color rgb="FF0B5C56"/>
      </x:left>
      <x:right style="thin">
        <x:color rgb="FF0B5C56"/>
      </x:right>
      <x:top style="thin">
        <x:color rgb="FF0B5C56"/>
      </x:top>
      <x:bottom style="thin">
        <x:color rgb="FF0B5C56"/>
      </x:bottom>
    </x:border>
    <x:border>
      <x:left style="thin">
        <x:color rgb="FFD9E2E7"/>
      </x:left>
      <x:right style="thin">
        <x:color rgb="FFD9E2E7"/>
      </x:right>
      <x:top style="thin">
        <x:color rgb="FFD9E2E7"/>
      </x:top>
      <x:bottom style="thin">
        <x:color rgb="FFD9E2E7"/>
      </x:bottom>
    </x:border>
    <x:border>
      <x:left style="thin">
        <x:color rgb="FFE7C27A"/>
      </x:left>
      <x:right style="thin">
        <x:color rgb="FFE7C27A"/>
      </x:right>
      <x:top style="thin">
        <x:color rgb="FFE7C27A"/>
      </x:top>
      <x:bottom style="thin">
        <x:color rgb="FFE7C27A"/>
      </x:bottom>
    </x:border>
    <x:border>
      <x:right style="thin">
        <x:color rgb="FFD9E5E3"/>
      </x:right>
      <x:bottom style="thin">
        <x:color rgb="FFD9E5E3"/>
      </x:bottom>
    </x:border>
    <x:border>
      <x:left style="thin">
        <x:color rgb="FFD9E5E3"/>
      </x:left>
      <x:right style="thin">
        <x:color rgb="FFD9E5E3"/>
      </x:right>
      <x:bottom style="thin">
        <x:color rgb="FFD9E5E3"/>
      </x:bottom>
    </x:border>
    <x:border>
      <x:left style="thin">
        <x:color rgb="FFD9E5E3"/>
      </x:left>
      <x:bottom style="thin">
        <x:color rgb="FFD9E5E3"/>
      </x:bottom>
    </x:border>
    <x:border>
      <x:right style="thin">
        <x:color rgb="FFD9E5E3"/>
      </x:right>
      <x:top style="thin">
        <x:color rgb="FFD9E5E3"/>
      </x:top>
      <x:bottom style="thin">
        <x:color rgb="FFD9E5E3"/>
      </x:bottom>
    </x:border>
    <x:border>
      <x:left style="thin">
        <x:color rgb="FFD9E5E3"/>
      </x:left>
      <x:right style="thin">
        <x:color rgb="FFD9E5E3"/>
      </x:right>
      <x:top style="thin">
        <x:color rgb="FFD9E5E3"/>
      </x:top>
      <x:bottom style="thin">
        <x:color rgb="FFD9E5E3"/>
      </x:bottom>
    </x:border>
    <x:border>
      <x:left style="thin">
        <x:color rgb="FFD9E5E3"/>
      </x:left>
      <x:top style="thin">
        <x:color rgb="FFD9E5E3"/>
      </x:top>
      <x:bottom style="thin">
        <x:color rgb="FFD9E5E3"/>
      </x:bottom>
    </x:border>
    <x:border>
      <x:right style="thin">
        <x:color rgb="FFD9E5E3"/>
      </x:right>
      <x:top style="thin">
        <x:color rgb="FFD9E5E3"/>
      </x:top>
    </x:border>
    <x:border>
      <x:left style="thin">
        <x:color rgb="FFD9E5E3"/>
      </x:left>
      <x:right style="thin">
        <x:color rgb="FFD9E5E3"/>
      </x:right>
      <x:top style="thin">
        <x:color rgb="FFD9E5E3"/>
      </x:top>
    </x:border>
    <x:border>
      <x:left style="thin">
        <x:color rgb="FFD9E5E3"/>
      </x:left>
      <x:top style="thin">
        <x:color rgb="FFD9E5E3"/>
      </x:top>
    </x:border>
  </x:borders>
  <x:cellStyleXfs count="1">
    <x:xf numFmtId="0" fontId="0" fillId="0" borderId="0"/>
  </x:cellStyleXfs>
  <x:cellXfs count="10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0" fillId="4" borderId="2" xfId="0" applyNumberFormat="1" applyFont="1" applyFill="1" applyBorder="1"/>
    <x:xf numFmtId="200" fontId="0" fillId="0" borderId="0" xfId="0" applyNumberFormat="1" applyFont="1" applyFill="1" applyBorder="1"/>
    <x:xf numFmtId="200" fontId="0" fillId="4" borderId="0" xfId="0" applyNumberFormat="1" applyFont="1" applyFill="1" applyBorder="1"/>
    <x:xf numFmtId="200" fontId="0" fillId="4" borderId="2" xfId="0" applyNumberFormat="1" applyFont="1" applyFill="1" applyBorder="1"/>
    <x:xf numFmtId="0" fontId="0" fillId="4" borderId="2" xfId="0" applyNumberFormat="1" applyFont="1" applyFill="1" applyBorder="1" applyAlignment="1">
      <x:alignment wrapText="1"/>
    </x:xf>
    <x:xf numFmtId="200" fontId="0" fillId="4" borderId="2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3" xfId="0" applyNumberFormat="1" applyFont="1" applyFill="1" applyBorder="1"/>
    <x:xf numFmtId="0" fontId="5" fillId="6" borderId="3" xfId="0" applyNumberFormat="1" applyFont="1" applyFill="1" applyBorder="1" applyAlignment="1">
      <x:alignment wrapText="1"/>
    </x:xf>
    <x:xf numFmtId="0" fontId="5" fillId="6" borderId="3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1" xfId="0" applyNumberFormat="1" applyFont="1" applyFill="1" applyBorder="1"/>
    <x:xf numFmtId="0" fontId="7" fillId="3" borderId="1" xfId="0" applyNumberFormat="1" applyFont="1" applyFill="1" applyBorder="1" applyAlignment="1">
      <x:alignment wrapText="1"/>
    </x:xf>
    <x:xf numFmtId="0" fontId="7" fillId="3" borderId="1" xfId="0" applyNumberFormat="1" applyFont="1" applyFill="1" applyBorder="1" applyAlignment="1">
      <x:alignment horizontal="center" wrapText="1"/>
    </x:xf>
    <x:xf numFmtId="0" fontId="7" fillId="3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201" fontId="0" fillId="0" borderId="2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  <x:xf numFmtId="0" fontId="0" fillId="4" borderId="2" xfId="0" applyNumberFormat="1" applyFont="1" applyFill="1" applyBorder="1" applyAlignment="1">
      <x:alignment vertical="top" wrapText="1"/>
    </x:xf>
    <x:xf numFmtId="200" fontId="0" fillId="4" borderId="2" xfId="0" applyNumberFormat="1" applyFont="1" applyFill="1" applyBorder="1" applyAlignment="1">
      <x:alignment vertical="top" wrapText="1"/>
    </x:xf>
    <x:xf numFmtId="201" fontId="0" fillId="4" borderId="2" xfId="0" applyNumberFormat="1" applyFont="1" applyFill="1" applyBorder="1" applyAlignment="1">
      <x:alignment vertical="top" wrapText="1"/>
    </x:xf>
    <x:xf numFmtId="202" fontId="0" fillId="4" borderId="2" xfId="0" applyNumberFormat="1" applyFont="1" applyFill="1" applyBorder="1" applyAlignment="1">
      <x:alignment vertical="top" wrapText="1"/>
    </x:xf>
    <x:xf numFmtId="0" fontId="0" fillId="8" borderId="2" xfId="0" applyNumberFormat="1" applyFont="1" applyFill="1" applyBorder="1" applyAlignment="1">
      <x:alignment vertical="top" wrapText="1"/>
    </x:xf>
    <x:xf numFmtId="200" fontId="0" fillId="8" borderId="2" xfId="0" applyNumberFormat="1" applyFont="1" applyFill="1" applyBorder="1" applyAlignment="1">
      <x:alignment vertical="top" wrapText="1"/>
    </x:xf>
    <x:xf numFmtId="201" fontId="0" fillId="8" borderId="2" xfId="0" applyNumberFormat="1" applyFont="1" applyFill="1" applyBorder="1" applyAlignment="1">
      <x:alignment vertical="top" wrapText="1"/>
    </x:xf>
    <x:xf numFmtId="202" fontId="0" fillId="8" borderId="2" xfId="0" applyNumberFormat="1" applyFont="1" applyFill="1" applyBorder="1" applyAlignment="1">
      <x:alignment vertical="top" wrapText="1"/>
    </x:xf>
    <x:xf numFmtId="0" fontId="0" fillId="6" borderId="2" xfId="0" applyNumberFormat="1" applyFont="1" applyFill="1" applyBorder="1" applyAlignment="1">
      <x:alignment vertical="top" wrapText="1"/>
    </x:xf>
    <x:xf numFmtId="200" fontId="0" fillId="6" borderId="2" xfId="0" applyNumberFormat="1" applyFont="1" applyFill="1" applyBorder="1" applyAlignment="1">
      <x:alignment vertical="top" wrapText="1"/>
    </x:xf>
    <x:xf numFmtId="201" fontId="0" fillId="6" borderId="2" xfId="0" applyNumberFormat="1" applyFont="1" applyFill="1" applyBorder="1" applyAlignment="1">
      <x:alignment vertical="top" wrapText="1"/>
    </x:xf>
    <x:xf numFmtId="202" fontId="0" fillId="6" borderId="2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0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horizontal="center"/>
    </x:xf>
    <x:xf numFmtId="0" fontId="3" fillId="9" borderId="0" xfId="0" applyNumberFormat="1" applyFont="1" applyFill="1" applyBorder="1" applyAlignment="1">
      <x:alignment horizontal="center" vertical="center"/>
    </x:xf>
    <x:xf numFmtId="0" fontId="8" fillId="0" borderId="0" xfId="0" applyNumberFormat="1" applyFont="1" applyFill="1" applyBorder="1" applyAlignment="1">
      <x:alignment wrapText="0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0" xfId="0" applyNumberFormat="1" applyFont="1" applyFill="1" applyBorder="1" applyAlignment="1">
      <x:alignment horizontal="left"/>
    </x:xf>
    <x:xf numFmtId="0" fontId="9" fillId="10" borderId="0" xfId="0" applyNumberFormat="1" applyFont="1" applyFill="1" applyBorder="1" applyAlignment="1">
      <x:alignment horizontal="left" vertical="center"/>
    </x:xf>
    <x:xf numFmtId="0" fontId="10" fillId="10" borderId="0" xfId="0" applyNumberFormat="1" applyFont="1" applyFill="1" applyBorder="1"/>
    <x:xf numFmtId="0" fontId="10" fillId="10" borderId="0" xfId="0" applyNumberFormat="1" applyFont="1" applyFill="1" applyBorder="1" applyAlignment="1">
      <x:alignment wrapText="1"/>
    </x:xf>
    <x:xf numFmtId="0" fontId="10" fillId="10" borderId="0" xfId="0" applyNumberFormat="1" applyFont="1" applyFill="1" applyBorder="1" applyAlignment="1">
      <x:alignment horizontal="left" wrapText="1"/>
    </x:xf>
    <x:xf numFmtId="0" fontId="10" fillId="10" borderId="0" xfId="0" applyNumberFormat="1" applyFont="1" applyFill="1" applyBorder="1" applyAlignment="1">
      <x:alignment horizontal="left" vertical="center" wrapText="1"/>
    </x:xf>
    <x:xf numFmtId="0" fontId="3" fillId="9" borderId="0" xfId="0" applyNumberFormat="1" applyFont="1" applyFill="1" applyBorder="1" applyAlignment="1">
      <x:alignment horizontal="left"/>
    </x:xf>
    <x:xf numFmtId="0" fontId="3" fillId="9" borderId="0" xfId="0" applyNumberFormat="1" applyFont="1" applyFill="1" applyBorder="1" applyAlignment="1">
      <x:alignment horizontal="left" vertical="center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0" fontId="8" fillId="0" borderId="5" xfId="0" applyNumberFormat="1" applyFont="1" applyFill="1" applyBorder="1" applyAlignment="1">
      <x:alignment vertical="center"/>
    </x:xf>
    <x:xf numFmtId="0" fontId="8" fillId="0" borderId="6" xfId="0" applyNumberFormat="1" applyFont="1" applyFill="1" applyBorder="1" applyAlignment="1">
      <x:alignment vertical="center"/>
    </x:xf>
    <x:xf numFmtId="0" fontId="8" fillId="0" borderId="8" xfId="0" applyNumberFormat="1" applyFont="1" applyFill="1" applyBorder="1" applyAlignment="1">
      <x:alignment vertical="center"/>
    </x:xf>
    <x:xf numFmtId="0" fontId="8" fillId="0" borderId="9" xfId="0" applyNumberFormat="1" applyFont="1" applyFill="1" applyBorder="1" applyAlignment="1">
      <x:alignment vertical="center"/>
    </x:xf>
    <x:xf numFmtId="0" fontId="8" fillId="0" borderId="11" xfId="0" applyNumberFormat="1" applyFont="1" applyFill="1" applyBorder="1" applyAlignment="1">
      <x:alignment vertical="center"/>
    </x:xf>
    <x:xf numFmtId="0" fontId="8" fillId="0" borderId="12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horizontal="left" vertical="center" wrapText="0"/>
    </x:xf>
    <x:xf numFmtId="0" fontId="10" fillId="10" borderId="0" xfId="0" applyNumberFormat="1" applyFont="1" applyFill="1" applyBorder="1" applyAlignment="1">
      <x:alignment horizontal="left" vertical="center" wrapText="0"/>
    </x:xf>
    <x:xf numFmtId="0" fontId="3" fillId="9" borderId="0" xfId="0" applyNumberFormat="1" applyFont="1" applyFill="1" applyBorder="1" applyAlignment="1">
      <x:alignment horizontal="left" vertical="center" wrapText="0"/>
    </x:xf>
    <x:xf numFmtId="0" fontId="0" fillId="0" borderId="4" xfId="0" applyNumberFormat="1" applyFont="1" applyFill="1" applyBorder="1" applyAlignment="1">
      <x:alignment vertical="center" wrapText="0"/>
    </x:xf>
    <x:xf numFmtId="0" fontId="0" fillId="0" borderId="5" xfId="0" applyNumberFormat="1" applyFont="1" applyFill="1" applyBorder="1" applyAlignment="1">
      <x:alignment vertical="center" wrapText="0"/>
    </x:xf>
    <x:xf numFmtId="0" fontId="8" fillId="0" borderId="5" xfId="0" applyNumberFormat="1" applyFont="1" applyFill="1" applyBorder="1" applyAlignment="1">
      <x:alignment vertical="center" wrapText="0"/>
    </x:xf>
    <x:xf numFmtId="0" fontId="8" fillId="0" borderId="6" xfId="0" applyNumberFormat="1" applyFont="1" applyFill="1" applyBorder="1" applyAlignment="1">
      <x:alignment vertical="center" wrapText="0"/>
    </x:xf>
    <x:xf numFmtId="0" fontId="0" fillId="0" borderId="7" xfId="0" applyNumberFormat="1" applyFont="1" applyFill="1" applyBorder="1" applyAlignment="1">
      <x:alignment vertical="center" wrapText="0"/>
    </x:xf>
    <x:xf numFmtId="0" fontId="0" fillId="0" borderId="8" xfId="0" applyNumberFormat="1" applyFont="1" applyFill="1" applyBorder="1" applyAlignment="1">
      <x:alignment vertical="center" wrapText="0"/>
    </x:xf>
    <x:xf numFmtId="0" fontId="8" fillId="0" borderId="8" xfId="0" applyNumberFormat="1" applyFont="1" applyFill="1" applyBorder="1" applyAlignment="1">
      <x:alignment vertical="center" wrapText="0"/>
    </x:xf>
    <x:xf numFmtId="0" fontId="8" fillId="0" borderId="9" xfId="0" applyNumberFormat="1" applyFont="1" applyFill="1" applyBorder="1" applyAlignment="1">
      <x:alignment vertical="center" wrapText="0"/>
    </x:xf>
    <x:xf numFmtId="0" fontId="0" fillId="0" borderId="10" xfId="0" applyNumberFormat="1" applyFont="1" applyFill="1" applyBorder="1" applyAlignment="1">
      <x:alignment vertical="center" wrapText="0"/>
    </x:xf>
    <x:xf numFmtId="0" fontId="0" fillId="0" borderId="11" xfId="0" applyNumberFormat="1" applyFont="1" applyFill="1" applyBorder="1" applyAlignment="1">
      <x:alignment vertical="center" wrapText="0"/>
    </x:xf>
    <x:xf numFmtId="0" fontId="8" fillId="0" borderId="11" xfId="0" applyNumberFormat="1" applyFont="1" applyFill="1" applyBorder="1" applyAlignment="1">
      <x:alignment vertical="center" wrapText="0"/>
    </x:xf>
    <x:xf numFmtId="0" fontId="8" fillId="0" borderId="12" xfId="0" applyNumberFormat="1" applyFont="1" applyFill="1" applyBorder="1" applyAlignment="1">
      <x:alignment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68eb22e530467b" /><Relationship Type="http://schemas.openxmlformats.org/officeDocument/2006/relationships/theme" Target="/xl/theme/theme1.xml" Id="Rdefbf70bd47c47b4" /><Relationship Type="http://schemas.openxmlformats.org/officeDocument/2006/relationships/sharedStrings" Target="/xl/sharedStrings.xml" Id="R49b96e1a5cdf48a0" /><Relationship Type="http://schemas.openxmlformats.org/officeDocument/2006/relationships/worksheet" Target="/xl/worksheets/sheet1.xml" Id="Raa3567ef255d4248" /><Relationship Type="http://schemas.openxmlformats.org/officeDocument/2006/relationships/worksheet" Target="/xl/worksheets/sheet2.xml" Id="R99408712a7a745f6" /><Relationship Type="http://schemas.openxmlformats.org/officeDocument/2006/relationships/worksheet" Target="/xl/worksheets/sheet3.xml" Id="R02012739cf21425e" /><Relationship Type="http://schemas.openxmlformats.org/officeDocument/2006/relationships/worksheet" Target="/xl/worksheets/sheet4.xml" Id="Rdacc8468f15249b9" /><Relationship Type="http://schemas.openxmlformats.org/officeDocument/2006/relationships/worksheet" Target="/xl/worksheets/sheet5.xml" Id="R195c37fad6d44d3f" /></Relationships>
</file>

<file path=xl/tables/table1.xml><?xml version="1.0" encoding="utf-8"?>
<x:table xmlns:x="http://schemas.openxmlformats.org/spreadsheetml/2006/main" id="1" name="LeadsTable" displayName="LeadsTable" ref="A5:AC55" headerRowCount="1" totalsRowCount="0" totalsRowShown="0">
  <x:tableColumns count="29">
    <x:tableColumn id="1" name="lead_id"/>
    <x:tableColumn id="2" name="region"/>
    <x:tableColumn id="3" name="city"/>
    <x:tableColumn id="4" name="name"/>
    <x:tableColumn id="5" name="address"/>
    <x:tableColumn id="6" name="phone"/>
    <x:tableColumn id="7" name="rating"/>
    <x:tableColumn id="8" name="reviews_count"/>
    <x:tableColumn id="9" name="hours"/>
    <x:tableColumn id="10" name="services"/>
    <x:tableColumn id="11" name="yandex_url"/>
    <x:tableColumn id="12" name="yandex_org_id"/>
    <x:tableColumn id="13" name="yandex_site_url"/>
    <x:tableColumn id="14" name="real_site_url"/>
    <x:tableColumn id="15" name="site_status"/>
    <x:tableColumn id="16" name="site_type"/>
    <x:tableColumn id="17" name="site_checked"/>
    <x:tableColumn id="18" name="identity_match"/>
    <x:tableColumn id="19" name="site_quality"/>
    <x:tableColumn id="20" name="category"/>
    <x:tableColumn id="21" name="main_problem"/>
    <x:tableColumn id="22" name="offer_angle"/>
    <x:tableColumn id="23" name="lead_score"/>
    <x:tableColumn id="24" name="contact_now"/>
    <x:tableColumn id="25" name="vk_url"/>
    <x:tableColumn id="26" name="whatsapp_url"/>
    <x:tableColumn id="27" name="telegram_url"/>
    <x:tableColumn id="28" name="checked_at"/>
    <x:tableColumn id="2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emoConfigsTable" displayName="DemoConfigsTable" ref="A4:N24" headerRowCount="1" totalsRowCount="0" totalsRowShown="0">
  <x:tableColumns count="14">
    <x:tableColumn id="1" name="demo_id"/>
    <x:tableColumn id="2" name="lead_id"/>
    <x:tableColumn id="3" name="name"/>
    <x:tableColumn id="4" name="template_variant"/>
    <x:tableColumn id="5" name="hero_title"/>
    <x:tableColumn id="6" name="hero_services"/>
    <x:tableColumn id="7" name="map_query"/>
    <x:tableColumn id="8" name="phone"/>
    <x:tableColumn id="9" name="whatsapp_url"/>
    <x:tableColumn id="10" name="telegram_url"/>
    <x:tableColumn id="11" name="vk_url"/>
    <x:tableColumn id="12" name="yandex_reviews_url"/>
    <x:tableColumn id="13" name="meta_title"/>
    <x:tableColumn id="14" name="meta_descrip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emoLinksTable" displayName="DemoLinksTable" ref="A4:E54" headerRowCount="1" totalsRowCount="0" totalsRowShown="0">
  <x:tableColumns count="5">
    <x:tableColumn id="1" name="lead_id"/>
    <x:tableColumn id="2" name="name"/>
    <x:tableColumn id="3" name="phone"/>
    <x:tableColumn id="4" name="demo_url"/>
    <x:tableColumn id="5" name="showcase_ur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225a41acaaf465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388119ac23d4b3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ff744617cbd0438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8" hidden="0" customWidth="1"/>
    <x:col min="4" max="4" width="20" hidden="0" customWidth="1"/>
    <x:col min="5" max="5" width="15" hidden="0" customWidth="1"/>
    <x:col min="6" max="6" width="18" hidden="0" customWidth="1"/>
  </x:cols>
  <x:sheetData>
    <x:row r="1" ht="30" customHeight="1">
      <x:c r="A1" s="4" t="str">
        <x:v>Псковская область: первые 50 лидов</x:v>
      </x:c>
    </x:row>
    <x:row r="2" ht="22" customHeight="1">
      <x:c r="A2" s="7" t="str">
        <x:v>Ручная проверка публичных карточек Яндекс Карт · 21.08.2026</x:v>
      </x:c>
    </x:row>
    <x:row r="4" ht="22" customHeight="1">
      <x:c r="A4" s="11" t="str">
        <x:v>Метрика</x:v>
      </x:c>
      <x:c r="B4" s="11" t="str">
        <x:v>Значение</x:v>
      </x:c>
      <x:c r="D4" s="11" t="str">
        <x:v>Категория</x:v>
      </x:c>
      <x:c r="E4" s="11" t="str">
        <x:v>Количество</x:v>
      </x:c>
      <x:c r="F4" s="11" t="str">
        <x:v>Средний score</x:v>
      </x:c>
    </x:row>
    <x:row r="5" ht="22" customHeight="1">
      <x:c r="A5" s="13" t="str">
        <x:v>Лидов в партии</x:v>
      </x:c>
      <x:c r="B5" s="13" t="n">
        <x:f>COUNTA('Лиды 50'!A6:A55)</x:f>
        <x:v>50</x:v>
      </x:c>
      <x:c r="D5" s="17" t="str">
        <x:v>B</x:v>
      </x:c>
      <x:c r="E5" s="17" t="n">
        <x:f>COUNTIF('Лиды 50'!T6:T55,D5)</x:f>
        <x:v>27</x:v>
      </x:c>
      <x:c r="F5" s="18" t="n">
        <x:f>AVERAGEIF('Лиды 50'!T6:T55,D5,'Лиды 50'!W6:W55)</x:f>
        <x:v>8.333333333333334</x:v>
      </x:c>
    </x:row>
    <x:row r="6" ht="22" customHeight="1">
      <x:c r="A6" s="13" t="str">
        <x:v>Категория B</x:v>
      </x:c>
      <x:c r="B6" s="13" t="n">
        <x:f>COUNTIF('Лиды 50'!T6:T55,"B")</x:f>
        <x:v>27</x:v>
      </x:c>
      <x:c r="D6" s="17" t="str">
        <x:v>needs_review</x:v>
      </x:c>
      <x:c r="E6" s="17" t="n">
        <x:f>COUNTIF('Лиды 50'!T6:T55,D6)</x:f>
        <x:v>22</x:v>
      </x:c>
      <x:c r="F6" s="18" t="n">
        <x:f>AVERAGEIF('Лиды 50'!T6:T55,D6,'Лиды 50'!W6:W55)</x:f>
        <x:v>5.409090909090909</x:v>
      </x:c>
    </x:row>
    <x:row r="7" ht="22" customHeight="1">
      <x:c r="A7" s="13" t="str">
        <x:v>Нужен аудит</x:v>
      </x:c>
      <x:c r="B7" s="13" t="n">
        <x:f>COUNTIF('Лиды 50'!T6:T55,"needs_review")</x:f>
        <x:v>22</x:v>
      </x:c>
      <x:c r="D7" s="17" t="str">
        <x:v>C</x:v>
      </x:c>
      <x:c r="E7" s="17" t="n">
        <x:f>COUNTIF('Лиды 50'!T6:T55,D7)</x:f>
        <x:v>1</x:v>
      </x:c>
      <x:c r="F7" s="18" t="n">
        <x:f>AVERAGEIF('Лиды 50'!T6:T55,D7,'Лиды 50'!W6:W55)</x:f>
        <x:v>4</x:v>
      </x:c>
    </x:row>
    <x:row r="8" ht="22" customHeight="1">
      <x:c r="A8" s="13" t="str">
        <x:v>Готовы к контакту</x:v>
      </x:c>
      <x:c r="B8" s="13" t="n">
        <x:f>COUNTIF('Лиды 50'!X6:X55,"Да")</x:f>
        <x:v>27</x:v>
      </x:c>
      <x:c r="D8" s="17" t="str">
        <x:v>Источник</x:v>
      </x:c>
      <x:c r="E8" s="17" t="str">
        <x:v>Яндекс Карты</x:v>
      </x:c>
      <x:c r="F8" s="17" t="str">
        <x:v>карточки организаций</x:v>
      </x:c>
    </x:row>
    <x:row r="11">
      <x:c r="A11" s="21" t="str">
        <x:v>Как использовать партию</x:v>
      </x:c>
    </x:row>
    <x:row r="12" ht="68" customHeight="1">
      <x:c r="A12" s="26" t="str">
        <x:v>Основная вкладка содержит 50 заполненных карточек без email. Фильтруйте по category, lead_score и contact_now. В «Демо-конфигах» подготовлены параметры для 20 приоритетных карточек категории B. Поля needs_review намеренно не получают выдуманную оценку сайта: сначала открывается домен и проверяется соответствие организации.</x:v>
      </x:c>
    </x:row>
  </x:sheetData>
  <x:mergeCells>
    <x:mergeCell ref="A1:H1"/>
    <x:mergeCell ref="A2:H2"/>
    <x:mergeCell ref="A11:H11"/>
    <x:mergeCell ref="A12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9" hidden="0" customWidth="1"/>
    <x:col min="3" max="3" width="18" hidden="0" customWidth="1"/>
    <x:col min="4" max="4" width="29" hidden="0" customWidth="1"/>
    <x:col min="5" max="5" width="40" hidden="0" customWidth="1"/>
    <x:col min="6" max="6" width="18" hidden="0" customWidth="1"/>
    <x:col min="7" max="7" width="10" hidden="0" customWidth="1"/>
    <x:col min="8" max="8" width="14" hidden="0" customWidth="1"/>
    <x:col min="9" max="9" width="18" hidden="0" customWidth="1"/>
    <x:col min="10" max="10" width="42" hidden="0" customWidth="1"/>
    <x:col min="11" max="11" width="42" hidden="0" customWidth="1"/>
    <x:col min="12" max="12" width="17" hidden="0" customWidth="1"/>
    <x:col min="13" max="13" width="42" hidden="0" customWidth="1"/>
    <x:col min="14" max="14" width="42" hidden="0" customWidth="1"/>
    <x:col min="15" max="15" width="25" hidden="0" customWidth="1"/>
    <x:col min="16" max="16" width="23" hidden="0" customWidth="1"/>
    <x:col min="17" max="17" width="22" hidden="0" customWidth="1"/>
    <x:col min="18" max="18" width="26" hidden="0" customWidth="1"/>
    <x:col min="19" max="19" width="17" hidden="0" customWidth="1"/>
    <x:col min="20" max="20" width="17" hidden="0" customWidth="1"/>
    <x:col min="21" max="21" width="48" hidden="0" customWidth="1"/>
    <x:col min="22" max="22" width="48" hidden="0" customWidth="1"/>
    <x:col min="23" max="23" width="12" hidden="0" customWidth="1"/>
    <x:col min="24" max="24" width="17" hidden="0" customWidth="1"/>
    <x:col min="25" max="25" width="34" hidden="0" customWidth="1"/>
    <x:col min="26" max="26" width="34" hidden="0" customWidth="1"/>
    <x:col min="27" max="27" width="32" hidden="0" customWidth="1"/>
    <x:col min="28" max="28" width="14" hidden="0" customWidth="1"/>
    <x:col min="29" max="29" width="54" hidden="0" customWidth="1"/>
    <x:col min="30" max="30" width="58" hidden="0" customWidth="1"/>
  </x:cols>
  <x:sheetData>
    <x:row r="1" ht="30" customHeight="1">
      <x:c r="A1" s="4" t="str">
        <x:v>Лиды автосервисов: Псковская область</x:v>
      </x:c>
    </x:row>
    <x:row r="2" ht="22" customHeight="1">
      <x:c r="A2" s="7" t="str">
        <x:v>Партия 01 · 50 организаций с отзывами, телефоном и адресом</x:v>
      </x:c>
    </x:row>
    <x:row r="4">
      <x:c r="A4" s="29" t="str">
        <x:v>Быстрый фильтр: category = B для предложений сайта; needs_review для обязательного аудита домена.</x:v>
      </x:c>
    </x:row>
    <x:row r="5">
      <x:c r="A5" s="34" t="str">
        <x:v>lead_id</x:v>
      </x:c>
      <x:c r="B5" s="34" t="str">
        <x:v>region</x:v>
      </x:c>
      <x:c r="C5" s="34" t="str">
        <x:v>city</x:v>
      </x:c>
      <x:c r="D5" s="34" t="str">
        <x:v>name</x:v>
      </x:c>
      <x:c r="E5" s="34" t="str">
        <x:v>address</x:v>
      </x:c>
      <x:c r="F5" s="34" t="str">
        <x:v>phone</x:v>
      </x:c>
      <x:c r="G5" s="34" t="str">
        <x:v>rating</x:v>
      </x:c>
      <x:c r="H5" s="34" t="str">
        <x:v>reviews_count</x:v>
      </x:c>
      <x:c r="I5" s="34" t="str">
        <x:v>hours</x:v>
      </x:c>
      <x:c r="J5" s="34" t="str">
        <x:v>services</x:v>
      </x:c>
      <x:c r="K5" s="34" t="str">
        <x:v>yandex_url</x:v>
      </x:c>
      <x:c r="L5" s="34" t="str">
        <x:v>yandex_org_id</x:v>
      </x:c>
      <x:c r="M5" s="34" t="str">
        <x:v>yandex_site_url</x:v>
      </x:c>
      <x:c r="N5" s="34" t="str">
        <x:v>real_site_url</x:v>
      </x:c>
      <x:c r="O5" s="34" t="str">
        <x:v>site_status</x:v>
      </x:c>
      <x:c r="P5" s="34" t="str">
        <x:v>site_type</x:v>
      </x:c>
      <x:c r="Q5" s="34" t="str">
        <x:v>site_checked</x:v>
      </x:c>
      <x:c r="R5" s="34" t="str">
        <x:v>identity_match</x:v>
      </x:c>
      <x:c r="S5" s="34" t="str">
        <x:v>site_quality</x:v>
      </x:c>
      <x:c r="T5" s="34" t="str">
        <x:v>category</x:v>
      </x:c>
      <x:c r="U5" s="34" t="str">
        <x:v>main_problem</x:v>
      </x:c>
      <x:c r="V5" s="34" t="str">
        <x:v>offer_angle</x:v>
      </x:c>
      <x:c r="W5" s="34" t="str">
        <x:v>lead_score</x:v>
      </x:c>
      <x:c r="X5" s="34" t="str">
        <x:v>contact_now</x:v>
      </x:c>
      <x:c r="Y5" s="34" t="str">
        <x:v>vk_url</x:v>
      </x:c>
      <x:c r="Z5" s="34" t="str">
        <x:v>whatsapp_url</x:v>
      </x:c>
      <x:c r="AA5" s="34" t="str">
        <x:v>telegram_url</x:v>
      </x:c>
      <x:c r="AB5" s="34" t="str">
        <x:v>checked_at</x:v>
      </x:c>
      <x:c r="AC5" s="34" t="str">
        <x:v>notes</x:v>
      </x:c>
      <x:c r="AD5" s="57" t="str">
        <x:v>demo_url</x:v>
      </x:c>
    </x:row>
    <x:row r="6" ht="44" customHeight="1">
      <x:c r="A6" s="41" t="str">
        <x:v>PSK-001</x:v>
      </x:c>
      <x:c r="B6" s="41" t="str">
        <x:v>Псковская область</x:v>
      </x:c>
      <x:c r="C6" s="41" t="str">
        <x:v>Псков</x:v>
      </x:c>
      <x:c r="D6" s="41" t="str">
        <x:v>ПсковХаб</x:v>
      </x:c>
      <x:c r="E6" s="41" t="str">
        <x:v>Чудская ул., 8А, Псков</x:v>
      </x:c>
      <x:c r="F6" s="41" t="str">
        <x:v>+7 (921) 003-37-77</x:v>
      </x:c>
      <x:c r="G6" s="42" t="n">
        <x:v>5</x:v>
      </x:c>
      <x:c r="H6" s="43" t="n">
        <x:v>394</x:v>
      </x:c>
      <x:c r="I6" s="41" t="str">
        <x:v>Открыто до 20:00</x:v>
      </x:c>
      <x:c r="J6" s="41" t="str">
        <x:v>заправка и ремонт автокондиционера, ремонт выхлопной системы, ремонт тормозной системы, ремонт двигателя, замена масла</x:v>
      </x:c>
      <x:c r="K6" s="41" t="str">
        <x:v>https://yandex.ru/maps/org/pskovkhab/62800220870/</x:v>
      </x:c>
      <x:c r="L6" s="43" t="str">
        <x:v>62800220870</x:v>
      </x:c>
      <x:c r="M6" s="41" t="str">
        <x:v>https://pskovhub.ru</x:v>
      </x:c>
      <x:c r="N6" s="41" t="str">
        <x:v>https://pskovhub.ru</x:v>
      </x:c>
      <x:c r="O6" s="41" t="str">
        <x:v>домен указан, нужен аудит</x:v>
      </x:c>
      <x:c r="P6" s="41" t="str">
        <x:v>сайт на своём домене</x:v>
      </x:c>
      <x:c r="Q6" s="41" t="str">
        <x:v>Нет</x:v>
      </x:c>
      <x:c r="R6" s="41" t="str">
        <x:v>совпадает с карточкой Яндекс</x:v>
      </x:c>
      <x:c r="S6" s="41" t="str">
        <x:v>needs_review</x:v>
      </x:c>
      <x:c r="T6" s="41" t="str">
        <x:v>needs_review</x:v>
      </x:c>
      <x:c r="U6" s="41" t="str">
        <x:v>Яндекс Карты указывают самостоятельный домен; нужен быстрый аудит страниц услуг, записи и мобильной версии.</x:v>
      </x:c>
      <x:c r="V6" s="41" t="str">
        <x:v>Экспресс-аудит публичной ссылки и демо по услугам: заправка и ремонт автокондиционера, ремонт выхлопной системы, ремонт тормозной системы, ремонт двигателя, замена масла.</x:v>
      </x:c>
      <x:c r="W6" s="43" t="n">
        <x:v>5</x:v>
      </x:c>
      <x:c r="X6" s="41" t="str">
        <x:v>После аудита</x:v>
      </x:c>
      <x:c r="Y6" s="41" t="str">
        <x:v>https://vk.ru/avtoservis.pskov</x:v>
      </x:c>
      <x:c r="Z6" s="41" t="str">
        <x:v>https://wa.me/79210033777</x:v>
      </x:c>
      <x:c r="AA6" s="41" t="str">
        <x:v>https://t.me/Pskov_Hub</x:v>
      </x:c>
      <x:c r="AB6" s="44" t="str">
        <x:v>2026-08-21</x:v>
      </x:c>
      <x:c r="AC6" s="41" t="str">
        <x:v>Источник: публичная карточка Яндекс Карт; число отзывов взято из вкладки «Отзывы».</x:v>
      </x:c>
      <x:c r="AD6" s="58" t="str">
        <x:v>https://qasite.ru/templates/auto-service/?client=pskov-001-pskovhab</x:v>
      </x:c>
    </x:row>
    <x:row r="7" ht="44" customHeight="1">
      <x:c r="A7" s="45" t="str">
        <x:v>PSK-002</x:v>
      </x:c>
      <x:c r="B7" s="45" t="str">
        <x:v>Псковская область</x:v>
      </x:c>
      <x:c r="C7" s="45" t="str">
        <x:v>Псковский район</x:v>
      </x:c>
      <x:c r="D7" s="45" t="str">
        <x:v>Автосервис на Рижском</x:v>
      </x:c>
      <x:c r="E7" s="45" t="str">
        <x:v>Юбилейная ул., 2, д. Неёлово-2</x:v>
      </x:c>
      <x:c r="F7" s="45" t="str">
        <x:v>+7 (921) 703-36-03</x:v>
      </x:c>
      <x:c r="G7" s="46" t="n">
        <x:v>4.9</x:v>
      </x:c>
      <x:c r="H7" s="47" t="n">
        <x:v>223</x:v>
      </x:c>
      <x:c r="I7" s="45" t="str">
        <x:v>Открыто до 21:00</x:v>
      </x:c>
      <x:c r="J7" s="45" t="str">
        <x:v>заправка и ремонт автокондиционера, ремонт тормозной системы, ремонт двигателя, полное сервисное обслуживание, замена масла</x:v>
      </x:c>
      <x:c r="K7" s="45" t="str">
        <x:v>https://yandex.ru/maps/org/avtoservis_na_rizhskom/1131290575/</x:v>
      </x:c>
      <x:c r="L7" s="47" t="str">
        <x:v>1131290575</x:v>
      </x:c>
      <x:c r="M7" s="45" t="str">
        <x:v>https://vk.ru/auto_service60</x:v>
      </x:c>
      <x:c r="N7" s="45" t="str"/>
      <x:c r="O7" s="45" t="str">
        <x:v>только публичный профиль</x:v>
      </x:c>
      <x:c r="P7" s="45" t="str">
        <x:v>VK</x:v>
      </x:c>
      <x:c r="Q7" s="45" t="str">
        <x:v>Карточка Яндекс</x:v>
      </x:c>
      <x:c r="R7" s="45" t="str">
        <x:v>совпадает с карточкой Яндекс</x:v>
      </x:c>
      <x:c r="S7" s="45" t="str">
        <x:v>B</x:v>
      </x:c>
      <x:c r="T7" s="45" t="str">
        <x:v>B</x:v>
      </x:c>
      <x:c r="U7" s="45" t="str">
        <x:v>В карточке Яндекс Карт основным цифровым каналом указан VK или мессенджер; отдельный сайт не указан.</x:v>
      </x:c>
      <x:c r="V7" s="45" t="str">
        <x:v>Демо-лендинг: заправка и ремонт автокондиционера, ремонт тормозной системы, ремонт двигателя, полное сервисное обслуживание, замена масла + Яндекс Карты, отзывы и мессенджеры.</x:v>
      </x:c>
      <x:c r="W7" s="47" t="n">
        <x:v>9</x:v>
      </x:c>
      <x:c r="X7" s="45" t="str">
        <x:v>Да</x:v>
      </x:c>
      <x:c r="Y7" s="45" t="str">
        <x:v>https://vk.ru/auto_service60</x:v>
      </x:c>
      <x:c r="Z7" s="45" t="str"/>
      <x:c r="AA7" s="45" t="str">
        <x:v>https://t.me/+79217033603</x:v>
      </x:c>
      <x:c r="AB7" s="48" t="str">
        <x:v>2026-08-21</x:v>
      </x:c>
      <x:c r="AC7" s="45" t="str">
        <x:v>номер из публичной Telegram-ссылки в карточке</x:v>
      </x:c>
      <x:c r="AD7" s="58" t="str">
        <x:v>https://qasite.ru/templates/auto-service/?client=pskov-002-avtoservis-na-rizhskom</x:v>
      </x:c>
    </x:row>
    <x:row r="8" ht="44" customHeight="1">
      <x:c r="A8" s="45" t="str">
        <x:v>PSK-003</x:v>
      </x:c>
      <x:c r="B8" s="45" t="str">
        <x:v>Псковская область</x:v>
      </x:c>
      <x:c r="C8" s="45" t="str">
        <x:v>Псков</x:v>
      </x:c>
      <x:c r="D8" s="45" t="str">
        <x:v>Сервисный центр</x:v>
      </x:c>
      <x:c r="E8" s="45" t="str">
        <x:v>Советская ул., 113, корп. 2, Псков</x:v>
      </x:c>
      <x:c r="F8" s="45" t="str">
        <x:v>+7 (953) 236-22-22</x:v>
      </x:c>
      <x:c r="G8" s="46" t="n">
        <x:v>5</x:v>
      </x:c>
      <x:c r="H8" s="47" t="n">
        <x:v>151</x:v>
      </x:c>
      <x:c r="I8" s="45" t="str">
        <x:v>Открыто до 20:00</x:v>
      </x:c>
      <x:c r="J8" s="45" t="str">
        <x:v>Шиномонтаж, Магазин автозапчастей и автотоваров, Ремонт АКПП</x:v>
      </x:c>
      <x:c r="K8" s="45" t="str">
        <x:v>https://yandex.ru/maps/org/servisny_tsentr/1159206312/</x:v>
      </x:c>
      <x:c r="L8" s="47" t="str">
        <x:v>1159206312</x:v>
      </x:c>
      <x:c r="M8" s="45" t="str">
        <x:v>https://vk.ru/id135061541</x:v>
      </x:c>
      <x:c r="N8" s="45" t="str"/>
      <x:c r="O8" s="45" t="str">
        <x:v>только публичный профиль</x:v>
      </x:c>
      <x:c r="P8" s="45" t="str">
        <x:v>VK</x:v>
      </x:c>
      <x:c r="Q8" s="45" t="str">
        <x:v>Карточка Яндекс</x:v>
      </x:c>
      <x:c r="R8" s="45" t="str">
        <x:v>совпадает с карточкой Яндекс</x:v>
      </x:c>
      <x:c r="S8" s="45" t="str">
        <x:v>B</x:v>
      </x:c>
      <x:c r="T8" s="45" t="str">
        <x:v>B</x:v>
      </x:c>
      <x:c r="U8" s="45" t="str">
        <x:v>В карточке Яндекс Карт основным цифровым каналом указан VK или мессенджер; отдельный сайт не указан.</x:v>
      </x:c>
      <x:c r="V8" s="45" t="str">
        <x:v>Демо-лендинг: Шиномонтаж, Магазин автозапчастей и автотоваров, Ремонт АКПП + Яндекс Карты, отзывы и мессенджеры.</x:v>
      </x:c>
      <x:c r="W8" s="47" t="n">
        <x:v>9</x:v>
      </x:c>
      <x:c r="X8" s="45" t="str">
        <x:v>Да</x:v>
      </x:c>
      <x:c r="Y8" s="45" t="str">
        <x:v>https://vk.ru/id135061541</x:v>
      </x:c>
      <x:c r="Z8" s="45" t="str"/>
      <x:c r="AA8" s="45" t="str"/>
      <x:c r="AB8" s="48" t="str">
        <x:v>2026-08-21</x:v>
      </x:c>
      <x:c r="AC8" s="45" t="str">
        <x:v>Источник: публичная карточка Яндекс Карт; число отзывов взято из вкладки «Отзывы».</x:v>
      </x:c>
      <x:c r="AD8" s="58" t="str">
        <x:v>https://qasite.ru/templates/auto-service/?client=pskov-003-servisnyy-tsentr</x:v>
      </x:c>
    </x:row>
    <x:row r="9" ht="44" customHeight="1">
      <x:c r="A9" s="45" t="str">
        <x:v>PSK-004</x:v>
      </x:c>
      <x:c r="B9" s="45" t="str">
        <x:v>Псковская область</x:v>
      </x:c>
      <x:c r="C9" s="45" t="str">
        <x:v>Псков</x:v>
      </x:c>
      <x:c r="D9" s="45" t="str">
        <x:v>Запчасти Тут</x:v>
      </x:c>
      <x:c r="E9" s="45" t="str">
        <x:v>ул. Декабристов, 19/3, Псков</x:v>
      </x:c>
      <x:c r="F9" s="45" t="str">
        <x:v>+7 (906) 221-47-50</x:v>
      </x:c>
      <x:c r="G9" s="46" t="n">
        <x:v>4.7</x:v>
      </x:c>
      <x:c r="H9" s="47" t="n">
        <x:v>125</x:v>
      </x:c>
      <x:c r="I9" s="45" t="str">
        <x:v>Открыто до 18:00</x:v>
      </x:c>
      <x:c r="J9" s="45" t="str">
        <x:v>предрейсовый техосмотр, заправка и ремонт автокондиционера, бронирование стёкол, аэрография, ремонт выхлопной системы</x:v>
      </x:c>
      <x:c r="K9" s="45" t="str">
        <x:v>https://yandex.ru/maps/org/zapchasti_tut/230405731249/</x:v>
      </x:c>
      <x:c r="L9" s="47" t="str">
        <x:v>230405731249</x:v>
      </x:c>
      <x:c r="M9" s="45" t="str">
        <x:v>https://n1368438.yclients.com</x:v>
      </x:c>
      <x:c r="N9" s="45" t="str">
        <x:v>https://n1368438.yclients.com</x:v>
      </x:c>
      <x:c r="O9" s="45" t="str">
        <x:v>публичная ссылка указана</x:v>
      </x:c>
      <x:c r="P9" s="45" t="str">
        <x:v>онлайн-запись Yclients</x:v>
      </x:c>
      <x:c r="Q9" s="45" t="str">
        <x:v>Карточка Яндекс</x:v>
      </x:c>
      <x:c r="R9" s="45" t="str">
        <x:v>совпадает с карточкой Яндекс</x:v>
      </x:c>
      <x:c r="S9" s="45" t="str">
        <x:v>B</x:v>
      </x:c>
      <x:c r="T9" s="45" t="str">
        <x:v>B</x:v>
      </x:c>
      <x:c r="U9" s="45" t="str">
        <x:v>В карточке указан конструктор или профиль; отдельный сервисный сайт с услугами и записью не подтверждён.</x:v>
      </x:c>
      <x:c r="V9" s="45" t="str">
        <x:v>Демо-лендинг: предрейсовый техосмотр, заправка и ремонт автокондиционера, бронирование стёкол, аэрография, ремонт выхлопной системы + Яндекс Карты, отзывы и мессенджеры.</x:v>
      </x:c>
      <x:c r="W9" s="47" t="n">
        <x:v>9</x:v>
      </x:c>
      <x:c r="X9" s="45" t="str">
        <x:v>Да</x:v>
      </x:c>
      <x:c r="Y9" s="45" t="str">
        <x:v>https://vk.ru/zapchastitut60</x:v>
      </x:c>
      <x:c r="Z9" s="45" t="str">
        <x:v>https://wa.me/79052951500</x:v>
      </x:c>
      <x:c r="AA9" s="45" t="str"/>
      <x:c r="AB9" s="48" t="str">
        <x:v>2026-08-21</x:v>
      </x:c>
      <x:c r="AC9" s="45" t="str">
        <x:v>Источник: публичная карточка Яндекс Карт; число отзывов взято из вкладки «Отзывы».</x:v>
      </x:c>
      <x:c r="AD9" s="58" t="str">
        <x:v>https://qasite.ru/templates/auto-service/?client=pskov-004-zapchasti-tut</x:v>
      </x:c>
    </x:row>
    <x:row r="10" ht="44" customHeight="1">
      <x:c r="A10" s="45" t="str">
        <x:v>PSK-005</x:v>
      </x:c>
      <x:c r="B10" s="45" t="str">
        <x:v>Псковская область</x:v>
      </x:c>
      <x:c r="C10" s="45" t="str">
        <x:v>Псков</x:v>
      </x:c>
      <x:c r="D10" s="45" t="str">
        <x:v>ТТК глушители</x:v>
      </x:c>
      <x:c r="E10" s="45" t="str">
        <x:v>ул. Труда, 83, Псков</x:v>
      </x:c>
      <x:c r="F10" s="45" t="str">
        <x:v>+7 (906) 222-83-49</x:v>
      </x:c>
      <x:c r="G10" s="46" t="n">
        <x:v>5</x:v>
      </x:c>
      <x:c r="H10" s="47" t="n">
        <x:v>120</x:v>
      </x:c>
      <x:c r="I10" s="45" t="str">
        <x:v>Открыто до 19:00</x:v>
      </x:c>
      <x:c r="J10" s="45" t="str">
        <x:v>Автосервис, автотехцентр, Сварочные работы</x:v>
      </x:c>
      <x:c r="K10" s="45" t="str">
        <x:v>https://yandex.ru/maps/org/ttk_glushiteli/33756742224/</x:v>
      </x:c>
      <x:c r="L10" s="47" t="str">
        <x:v>33756742224</x:v>
      </x:c>
      <x:c r="M10" s="45" t="str">
        <x:v>https://vk.link/tskapskov</x:v>
      </x:c>
      <x:c r="N10" s="45" t="str">
        <x:v>https://vk.link/tskapskov</x:v>
      </x:c>
      <x:c r="O10" s="45" t="str">
        <x:v>публичная ссылка указана</x:v>
      </x:c>
      <x:c r="P10" s="45" t="str">
        <x:v>VK Link</x:v>
      </x:c>
      <x:c r="Q10" s="45" t="str">
        <x:v>Карточка Яндекс</x:v>
      </x:c>
      <x:c r="R10" s="45" t="str">
        <x:v>совпадает с карточкой Яндекс</x:v>
      </x:c>
      <x:c r="S10" s="45" t="str">
        <x:v>B</x:v>
      </x:c>
      <x:c r="T10" s="45" t="str">
        <x:v>B</x:v>
      </x:c>
      <x:c r="U10" s="45" t="str">
        <x:v>В карточке указан конструктор или профиль; отдельный сервисный сайт с услугами и записью не подтверждён.</x:v>
      </x:c>
      <x:c r="V10" s="45" t="str">
        <x:v>Демо-лендинг: Автосервис, автотехцентр, Сварочные работы + Яндекс Карты, отзывы и мессенджеры.</x:v>
      </x:c>
      <x:c r="W10" s="47" t="n">
        <x:v>9</x:v>
      </x:c>
      <x:c r="X10" s="45" t="str">
        <x:v>Да</x:v>
      </x:c>
      <x:c r="Y10" s="45" t="str">
        <x:v>http://vk.ru/tskapskov</x:v>
      </x:c>
      <x:c r="Z10" s="45" t="str">
        <x:v>https://wa.me/79062228349</x:v>
      </x:c>
      <x:c r="AA10" s="45" t="str">
        <x:v>https://t.me/ttkservicepskov</x:v>
      </x:c>
      <x:c r="AB10" s="48" t="str">
        <x:v>2026-08-21</x:v>
      </x:c>
      <x:c r="AC10" s="45" t="str">
        <x:v>Источник: публичная карточка Яндекс Карт; число отзывов взято из вкладки «Отзывы».</x:v>
      </x:c>
      <x:c r="AD10" s="58" t="str">
        <x:v>https://qasite.ru/templates/auto-service/?client=pskov-005-ttk-glushiteli</x:v>
      </x:c>
    </x:row>
    <x:row r="11" ht="44" customHeight="1">
      <x:c r="A11" s="45" t="str">
        <x:v>PSK-006</x:v>
      </x:c>
      <x:c r="B11" s="45" t="str">
        <x:v>Псковская область</x:v>
      </x:c>
      <x:c r="C11" s="45" t="str">
        <x:v>Псков</x:v>
      </x:c>
      <x:c r="D11" s="45" t="str">
        <x:v>Мотор</x:v>
      </x:c>
      <x:c r="E11" s="45" t="str">
        <x:v>Инженерная ул., 102, Псков</x:v>
      </x:c>
      <x:c r="F11" s="45" t="str">
        <x:v>+7 (953) 243-74-74</x:v>
      </x:c>
      <x:c r="G11" s="46" t="n">
        <x:v>4.8</x:v>
      </x:c>
      <x:c r="H11" s="47" t="n">
        <x:v>118</x:v>
      </x:c>
      <x:c r="I11" s="45" t="str">
        <x:v>Открыто до 21:00</x:v>
      </x:c>
      <x:c r="J11" s="45" t="str">
        <x:v>заправка и ремонт автокондиционера, бронирование стёкол, ремонт выхлопной системы, ремонт тормозной системы, ремонт пластиковых бамперов</x:v>
      </x:c>
      <x:c r="K11" s="45" t="str">
        <x:v>https://yandex.ru/maps/org/motor/219868361638/</x:v>
      </x:c>
      <x:c r="L11" s="47" t="str">
        <x:v>219868361638</x:v>
      </x:c>
      <x:c r="M11" s="45" t="str">
        <x:v>https://vk.ru/motor_oil_60</x:v>
      </x:c>
      <x:c r="N11" s="45" t="str"/>
      <x:c r="O11" s="45" t="str">
        <x:v>только публичный профиль</x:v>
      </x:c>
      <x:c r="P11" s="45" t="str">
        <x:v>VK</x:v>
      </x:c>
      <x:c r="Q11" s="45" t="str">
        <x:v>Карточка Яндекс</x:v>
      </x:c>
      <x:c r="R11" s="45" t="str">
        <x:v>совпадает с карточкой Яндекс</x:v>
      </x:c>
      <x:c r="S11" s="45" t="str">
        <x:v>B</x:v>
      </x:c>
      <x:c r="T11" s="45" t="str">
        <x:v>B</x:v>
      </x:c>
      <x:c r="U11" s="45" t="str">
        <x:v>В карточке Яндекс Карт основным цифровым каналом указан VK или мессенджер; отдельный сайт не указан.</x:v>
      </x:c>
      <x:c r="V11" s="45" t="str">
        <x:v>Демо-лендинг: заправка и ремонт автокондиционера, бронирование стёкол, ремонт выхлопной системы, ремонт тормозной системы, ремонт пластиковых бамперов + Яндекс Карты, отзывы и мессенджеры.</x:v>
      </x:c>
      <x:c r="W11" s="47" t="n">
        <x:v>9</x:v>
      </x:c>
      <x:c r="X11" s="45" t="str">
        <x:v>Да</x:v>
      </x:c>
      <x:c r="Y11" s="45" t="str">
        <x:v>https://vk.ru/motor_oil_60</x:v>
      </x:c>
      <x:c r="Z11" s="45" t="str">
        <x:v>https://wa.me/79532437474</x:v>
      </x:c>
      <x:c r="AA11" s="45" t="str">
        <x:v>https://t.me/+79532437474</x:v>
      </x:c>
      <x:c r="AB11" s="48" t="str">
        <x:v>2026-08-21</x:v>
      </x:c>
      <x:c r="AC11" s="45" t="str">
        <x:v>Источник: публичная карточка Яндекс Карт; число отзывов взято из вкладки «Отзывы».</x:v>
      </x:c>
      <x:c r="AD11" s="58" t="str">
        <x:v>https://qasite.ru/templates/auto-service/?client=pskov-006-motor</x:v>
      </x:c>
    </x:row>
    <x:row r="12" ht="44" customHeight="1">
      <x:c r="A12" s="41" t="str">
        <x:v>PSK-007</x:v>
      </x:c>
      <x:c r="B12" s="41" t="str">
        <x:v>Псковская область</x:v>
      </x:c>
      <x:c r="C12" s="41" t="str">
        <x:v>Псков</x:v>
      </x:c>
      <x:c r="D12" s="41" t="str">
        <x:v>Джем</x:v>
      </x:c>
      <x:c r="E12" s="41" t="str">
        <x:v>ул. Труда, 79Б, Псков</x:v>
      </x:c>
      <x:c r="F12" s="41" t="str">
        <x:v>+7 (921) 119-44-04</x:v>
      </x:c>
      <x:c r="G12" s="42" t="n">
        <x:v>4.6</x:v>
      </x:c>
      <x:c r="H12" s="43" t="n">
        <x:v>113</x:v>
      </x:c>
      <x:c r="I12" s="41" t="str">
        <x:v>Открыто до 19:00</x:v>
      </x:c>
      <x:c r="J12" s="41" t="str">
        <x:v>заправка и ремонт автокондиционера, ремонт выхлопной системы, ремонт тормозной системы, ремонт АКПП, ремонт двигателя</x:v>
      </x:c>
      <x:c r="K12" s="41" t="str">
        <x:v>https://yandex.ru/maps/org/dzhem/1157625264/</x:v>
      </x:c>
      <x:c r="L12" s="43" t="str">
        <x:v>1157625264</x:v>
      </x:c>
      <x:c r="M12" s="41" t="str">
        <x:v>https://jam-avto.ru</x:v>
      </x:c>
      <x:c r="N12" s="41" t="str">
        <x:v>https://jam-avto.ru</x:v>
      </x:c>
      <x:c r="O12" s="41" t="str">
        <x:v>домен указан, нужен аудит</x:v>
      </x:c>
      <x:c r="P12" s="41" t="str">
        <x:v>сайт на своём домене</x:v>
      </x:c>
      <x:c r="Q12" s="41" t="str">
        <x:v>Нет</x:v>
      </x:c>
      <x:c r="R12" s="41" t="str">
        <x:v>совпадает с карточкой Яндекс</x:v>
      </x:c>
      <x:c r="S12" s="41" t="str">
        <x:v>needs_review</x:v>
      </x:c>
      <x:c r="T12" s="41" t="str">
        <x:v>needs_review</x:v>
      </x:c>
      <x:c r="U12" s="41" t="str">
        <x:v>Яндекс Карты указывают самостоятельный домен; нужен быстрый аудит страниц услуг, записи и мобильной версии.</x:v>
      </x:c>
      <x:c r="V12" s="41" t="str">
        <x:v>Экспресс-аудит публичной ссылки и демо по услугам: заправка и ремонт автокондиционера, ремонт выхлопной системы, ремонт тормозной системы, ремонт АКПП, ремонт двигателя.</x:v>
      </x:c>
      <x:c r="W12" s="43" t="n">
        <x:v>5</x:v>
      </x:c>
      <x:c r="X12" s="41" t="str">
        <x:v>После аудита</x:v>
      </x:c>
      <x:c r="Y12" s="41" t="str">
        <x:v>https://vk.ru/jamavto</x:v>
      </x:c>
      <x:c r="Z12" s="41" t="str"/>
      <x:c r="AA12" s="41" t="str">
        <x:v>https://t.me/jamavtopskov</x:v>
      </x:c>
      <x:c r="AB12" s="44" t="str">
        <x:v>2026-08-21</x:v>
      </x:c>
      <x:c r="AC12" s="41" t="str">
        <x:v>Источник: публичная карточка Яндекс Карт; число отзывов взято из вкладки «Отзывы».</x:v>
      </x:c>
      <x:c r="AD12" s="58" t="str">
        <x:v>https://qasite.ru/templates/auto-service/?client=pskov-007-dzhem</x:v>
      </x:c>
    </x:row>
    <x:row r="13" ht="44" customHeight="1">
      <x:c r="A13" s="49" t="str">
        <x:v>PSK-008</x:v>
      </x:c>
      <x:c r="B13" s="49" t="str">
        <x:v>Псковская область</x:v>
      </x:c>
      <x:c r="C13" s="49" t="str">
        <x:v>Псковский район</x:v>
      </x:c>
      <x:c r="D13" s="49" t="str">
        <x:v>Роад60</x:v>
      </x:c>
      <x:c r="E13" s="49" t="str">
        <x:v>Юбилейная ул., 1Б, д. Неёлово-1</x:v>
      </x:c>
      <x:c r="F13" s="49" t="str">
        <x:v>+7 (951) 757-08-88</x:v>
      </x:c>
      <x:c r="G13" s="50" t="n">
        <x:v>5</x:v>
      </x:c>
      <x:c r="H13" s="51" t="n">
        <x:v>89</x:v>
      </x:c>
      <x:c r="I13" s="49" t="str">
        <x:v>Открыто до 18:00</x:v>
      </x:c>
      <x:c r="J13" s="49" t="str">
        <x:v>ремонт дисков, ремонт ходовой части, ремонт тормозной системы </x:v>
      </x:c>
      <x:c r="K13" s="49" t="str">
        <x:v>https://yandex.ru/maps/org/road60/165517092285/</x:v>
      </x:c>
      <x:c r="L13" s="51" t="str">
        <x:v>165517092285</x:v>
      </x:c>
      <x:c r="M13" s="49" t="str">
        <x:v>https://road60.ru</x:v>
      </x:c>
      <x:c r="N13" s="49" t="str">
        <x:v>https://road60.ru</x:v>
      </x:c>
      <x:c r="O13" s="49" t="str">
        <x:v>сайт проверен</x:v>
      </x:c>
      <x:c r="P13" s="49" t="str">
        <x:v>сайт на своём домене</x:v>
      </x:c>
      <x:c r="Q13" s="49" t="str">
        <x:v>Да</x:v>
      </x:c>
      <x:c r="R13" s="49" t="str">
        <x:v>совпадает с карточкой Яндекс</x:v>
      </x:c>
      <x:c r="S13" s="49" t="str">
        <x:v>C</x:v>
      </x:c>
      <x:c r="T13" s="49" t="str">
        <x:v>C</x:v>
      </x:c>
      <x:c r="U13" s="49" t="str">
        <x:v>Сайт в первую очередь продаёт шины; сервисный путь и запись на работы требуют отдельной оценки.</x:v>
      </x:c>
      <x:c r="V13" s="49" t="str">
        <x:v>Сервисная посадочная страница с работами, ценами, картами и записью.</x:v>
      </x:c>
      <x:c r="W13" s="51" t="n">
        <x:v>4</x:v>
      </x:c>
      <x:c r="X13" s="49" t="str">
        <x:v>Нет</x:v>
      </x:c>
      <x:c r="Y13" s="49" t="str">
        <x:v>https://vk.ru/road60ru</x:v>
      </x:c>
      <x:c r="Z13" s="49" t="str">
        <x:v>https://wa.me/+79517570888</x:v>
      </x:c>
      <x:c r="AA13" s="49" t="str">
        <x:v>https://t.me/+79517570888</x:v>
      </x:c>
      <x:c r="AB13" s="52" t="str">
        <x:v>2026-08-21</x:v>
      </x:c>
      <x:c r="AC13" s="49" t="str">
        <x:v>Источник: публичная карточка Яндекс Карт; число отзывов взято из вкладки «Отзывы».</x:v>
      </x:c>
      <x:c r="AD13" s="58" t="str">
        <x:v>https://qasite.ru/templates/auto-service/?client=pskov-008-road60</x:v>
      </x:c>
    </x:row>
    <x:row r="14" ht="44" customHeight="1">
      <x:c r="A14" s="45" t="str">
        <x:v>PSK-009</x:v>
      </x:c>
      <x:c r="B14" s="45" t="str">
        <x:v>Псковская область</x:v>
      </x:c>
      <x:c r="C14" s="45" t="str">
        <x:v>Псков</x:v>
      </x:c>
      <x:c r="D14" s="45" t="str">
        <x:v>На высоте</x:v>
      </x:c>
      <x:c r="E14" s="45" t="str">
        <x:v>Гаражный пр., 8, Псков</x:v>
      </x:c>
      <x:c r="F14" s="45" t="str">
        <x:v>+7 (905) 295-46-03</x:v>
      </x:c>
      <x:c r="G14" s="46" t="n">
        <x:v>5</x:v>
      </x:c>
      <x:c r="H14" s="47" t="n">
        <x:v>83</x:v>
      </x:c>
      <x:c r="I14" s="45" t="str">
        <x:v>Открыто до 18:00</x:v>
      </x:c>
      <x:c r="J14" s="45" t="str">
        <x:v>заправка и ремонт автокондиционера, ремонт выхлопной системы, ремонт тормозной системы, ремонт АКПП, ремонт двигателя</x:v>
      </x:c>
      <x:c r="K14" s="45" t="str">
        <x:v>https://yandex.ru/maps/org/na_vysote/56148152434/</x:v>
      </x:c>
      <x:c r="L14" s="47" t="str">
        <x:v>56148152434</x:v>
      </x:c>
      <x:c r="M14" s="45" t="str">
        <x:v>https://vk.ru/service_na_vysote</x:v>
      </x:c>
      <x:c r="N14" s="45" t="str"/>
      <x:c r="O14" s="45" t="str">
        <x:v>только публичный профиль</x:v>
      </x:c>
      <x:c r="P14" s="45" t="str">
        <x:v>VK</x:v>
      </x:c>
      <x:c r="Q14" s="45" t="str">
        <x:v>Карточка Яндекс</x:v>
      </x:c>
      <x:c r="R14" s="45" t="str">
        <x:v>совпадает с карточкой Яндекс</x:v>
      </x:c>
      <x:c r="S14" s="45" t="str">
        <x:v>B</x:v>
      </x:c>
      <x:c r="T14" s="45" t="str">
        <x:v>B</x:v>
      </x:c>
      <x:c r="U14" s="45" t="str">
        <x:v>В карточке Яндекс Карт основным цифровым каналом указан VK или мессенджер; отдельный сайт не указан.</x:v>
      </x:c>
      <x:c r="V14" s="45" t="str">
        <x:v>Демо-лендинг: заправка и ремонт автокондиционера, ремонт выхлопной системы, ремонт тормозной системы, ремонт АКПП, ремонт двигателя + Яндекс Карты, отзывы и мессенджеры.</x:v>
      </x:c>
      <x:c r="W14" s="47" t="n">
        <x:v>9</x:v>
      </x:c>
      <x:c r="X14" s="45" t="str">
        <x:v>Да</x:v>
      </x:c>
      <x:c r="Y14" s="45" t="str">
        <x:v>https://vk.ru/service_na_vysote</x:v>
      </x:c>
      <x:c r="Z14" s="45" t="str"/>
      <x:c r="AA14" s="45" t="str"/>
      <x:c r="AB14" s="48" t="str">
        <x:v>2026-08-21</x:v>
      </x:c>
      <x:c r="AC14" s="45" t="str">
        <x:v>Источник: публичная карточка Яндекс Карт; число отзывов взято из вкладки «Отзывы».</x:v>
      </x:c>
      <x:c r="AD14" s="58" t="str">
        <x:v>https://qasite.ru/templates/auto-service/?client=pskov-009-na-vysote</x:v>
      </x:c>
    </x:row>
    <x:row r="15" ht="44" customHeight="1">
      <x:c r="A15" s="45" t="str">
        <x:v>PSK-010</x:v>
      </x:c>
      <x:c r="B15" s="45" t="str">
        <x:v>Псковская область</x:v>
      </x:c>
      <x:c r="C15" s="45" t="str">
        <x:v>Псков</x:v>
      </x:c>
      <x:c r="D15" s="45" t="str">
        <x:v>RemFar. psk</x:v>
      </x:c>
      <x:c r="E15" s="45" t="str">
        <x:v>Ипподромная ул., 145, Псков</x:v>
      </x:c>
      <x:c r="F15" s="45" t="str">
        <x:v>+7 (931) 009-82-93</x:v>
      </x:c>
      <x:c r="G15" s="46" t="n">
        <x:v>5</x:v>
      </x:c>
      <x:c r="H15" s="47" t="n">
        <x:v>68</x:v>
      </x:c>
      <x:c r="I15" s="45" t="str">
        <x:v>Открыто до 19:00</x:v>
      </x:c>
      <x:c r="J15" s="45" t="str">
        <x:v>Студия тюнинга, Оклейка машин, Автосвет</x:v>
      </x:c>
      <x:c r="K15" s="45" t="str">
        <x:v>https://yandex.ru/maps/org/remfar_psk/196447188783/</x:v>
      </x:c>
      <x:c r="L15" s="47" t="str">
        <x:v>196447188783</x:v>
      </x:c>
      <x:c r="M15" s="45" t="str">
        <x:v>https://vk.ru/remfarpsk</x:v>
      </x:c>
      <x:c r="N15" s="45" t="str"/>
      <x:c r="O15" s="45" t="str">
        <x:v>только публичный профиль</x:v>
      </x:c>
      <x:c r="P15" s="45" t="str">
        <x:v>VK</x:v>
      </x:c>
      <x:c r="Q15" s="45" t="str">
        <x:v>Карточка Яндекс</x:v>
      </x:c>
      <x:c r="R15" s="45" t="str">
        <x:v>совпадает с карточкой Яндекс</x:v>
      </x:c>
      <x:c r="S15" s="45" t="str">
        <x:v>B</x:v>
      </x:c>
      <x:c r="T15" s="45" t="str">
        <x:v>B</x:v>
      </x:c>
      <x:c r="U15" s="45" t="str">
        <x:v>В карточке Яндекс Карт основным цифровым каналом указан VK или мессенджер; отдельный сайт не указан.</x:v>
      </x:c>
      <x:c r="V15" s="45" t="str">
        <x:v>Демо-лендинг: Студия тюнинга, Оклейка машин, Автосвет + Яндекс Карты, отзывы и мессенджеры.</x:v>
      </x:c>
      <x:c r="W15" s="47" t="n">
        <x:v>9</x:v>
      </x:c>
      <x:c r="X15" s="45" t="str">
        <x:v>Да</x:v>
      </x:c>
      <x:c r="Y15" s="45" t="str">
        <x:v>https://vk.ru/remfarpsk</x:v>
      </x:c>
      <x:c r="Z15" s="45" t="str">
        <x:v>https://wa.me/79992444999</x:v>
      </x:c>
      <x:c r="AA15" s="45" t="str">
        <x:v>https://t.me/remfar60</x:v>
      </x:c>
      <x:c r="AB15" s="48" t="str">
        <x:v>2026-08-21</x:v>
      </x:c>
      <x:c r="AC15" s="45" t="str">
        <x:v>Источник: публичная карточка Яндекс Карт; число отзывов взято из вкладки «Отзывы».</x:v>
      </x:c>
      <x:c r="AD15" s="58" t="str">
        <x:v>https://qasite.ru/templates/auto-service/?client=pskov-010-remfar-psk</x:v>
      </x:c>
    </x:row>
    <x:row r="16" ht="44" customHeight="1">
      <x:c r="A16" s="45" t="str">
        <x:v>PSK-011</x:v>
      </x:c>
      <x:c r="B16" s="45" t="str">
        <x:v>Псковская область</x:v>
      </x:c>
      <x:c r="C16" s="45" t="str">
        <x:v>Псков</x:v>
      </x:c>
      <x:c r="D16" s="45" t="str">
        <x:v>Драйв Плюс</x:v>
      </x:c>
      <x:c r="E16" s="45" t="str">
        <x:v>Гаражный пр., 18А, Псков</x:v>
      </x:c>
      <x:c r="F16" s="45" t="str">
        <x:v>+7 (905) 295-99-96</x:v>
      </x:c>
      <x:c r="G16" s="46" t="n">
        <x:v>4.7</x:v>
      </x:c>
      <x:c r="H16" s="47" t="n">
        <x:v>57</x:v>
      </x:c>
      <x:c r="I16" s="45" t="str">
        <x:v>Открыто до 19:00</x:v>
      </x:c>
      <x:c r="J16" s="45" t="str">
        <x:v>ремонт тормозной системы, ремонт двигателя, полное сервисное обслуживание, замена масла, ремонт ходовой части</x:v>
      </x:c>
      <x:c r="K16" s="45" t="str">
        <x:v>https://yandex.ru/maps/org/drayv_plyus/83568646707/</x:v>
      </x:c>
      <x:c r="L16" s="47" t="str">
        <x:v>83568646707</x:v>
      </x:c>
      <x:c r="M16" s="45" t="str">
        <x:v>https://t.me/@wwsergeyww</x:v>
      </x:c>
      <x:c r="N16" s="45" t="str"/>
      <x:c r="O16" s="45" t="str">
        <x:v>только публичный профиль</x:v>
      </x:c>
      <x:c r="P16" s="45" t="str">
        <x:v>мессенджер</x:v>
      </x:c>
      <x:c r="Q16" s="45" t="str">
        <x:v>Карточка Яндекс</x:v>
      </x:c>
      <x:c r="R16" s="45" t="str">
        <x:v>совпадает с карточкой Яндекс</x:v>
      </x:c>
      <x:c r="S16" s="45" t="str">
        <x:v>B</x:v>
      </x:c>
      <x:c r="T16" s="45" t="str">
        <x:v>B</x:v>
      </x:c>
      <x:c r="U16" s="45" t="str">
        <x:v>В карточке Яндекс Карт основным цифровым каналом указан VK или мессенджер; отдельный сайт не указан.</x:v>
      </x:c>
      <x:c r="V16" s="45" t="str">
        <x:v>Демо-лендинг: ремонт тормозной системы, ремонт двигателя, полное сервисное обслуживание, замена масла, ремонт ходовой части + Яндекс Карты, отзывы и мессенджеры.</x:v>
      </x:c>
      <x:c r="W16" s="47" t="n">
        <x:v>9</x:v>
      </x:c>
      <x:c r="X16" s="45" t="str">
        <x:v>Да</x:v>
      </x:c>
      <x:c r="Y16" s="45" t="str"/>
      <x:c r="Z16" s="45" t="str"/>
      <x:c r="AA16" s="45" t="str">
        <x:v>https://t.me/@wwsergeyww</x:v>
      </x:c>
      <x:c r="AB16" s="48" t="str">
        <x:v>2026-08-21</x:v>
      </x:c>
      <x:c r="AC16" s="45" t="str">
        <x:v>Источник: публичная карточка Яндекс Карт; число отзывов взято из вкладки «Отзывы».</x:v>
      </x:c>
      <x:c r="AD16" s="58" t="str">
        <x:v>https://qasite.ru/templates/auto-service/?client=pskov-011-drayv-plyus</x:v>
      </x:c>
    </x:row>
    <x:row r="17" ht="44" customHeight="1">
      <x:c r="A17" s="45" t="str">
        <x:v>PSK-012</x:v>
      </x:c>
      <x:c r="B17" s="45" t="str">
        <x:v>Псковская область</x:v>
      </x:c>
      <x:c r="C17" s="45" t="str">
        <x:v>Псков</x:v>
      </x:c>
      <x:c r="D17" s="45" t="str">
        <x:v>Автосервис 24</x:v>
      </x:c>
      <x:c r="E17" s="45" t="str">
        <x:v>Крестовское ш., 40Б, корп. 1, Псков</x:v>
      </x:c>
      <x:c r="F17" s="45" t="str">
        <x:v>+7 (939) 409-90-08</x:v>
      </x:c>
      <x:c r="G17" s="46" t="n">
        <x:v>4.8</x:v>
      </x:c>
      <x:c r="H17" s="47" t="n">
        <x:v>56</x:v>
      </x:c>
      <x:c r="I17" s="45" t="str">
        <x:v>круглосуточно</x:v>
      </x:c>
      <x:c r="J17" s="45" t="str">
        <x:v>ремонт выхлопной системы, ремонт тормозной системы, ремонт пластиковых бамперов, ремонт АКПП, ремонт двигателя</x:v>
      </x:c>
      <x:c r="K17" s="45" t="str">
        <x:v>https://yandex.ru/maps/org/avtoservis_24/109849484973/</x:v>
      </x:c>
      <x:c r="L17" s="47" t="str">
        <x:v>109849484973</x:v>
      </x:c>
      <x:c r="M17" s="45" t="str">
        <x:v>https://vk.com/club16756281</x:v>
      </x:c>
      <x:c r="N17" s="45" t="str"/>
      <x:c r="O17" s="45" t="str">
        <x:v>только публичный профиль</x:v>
      </x:c>
      <x:c r="P17" s="45" t="str">
        <x:v>VK</x:v>
      </x:c>
      <x:c r="Q17" s="45" t="str">
        <x:v>Карточка Яндекс</x:v>
      </x:c>
      <x:c r="R17" s="45" t="str">
        <x:v>совпадает с карточкой Яндекс</x:v>
      </x:c>
      <x:c r="S17" s="45" t="str">
        <x:v>B</x:v>
      </x:c>
      <x:c r="T17" s="45" t="str">
        <x:v>B</x:v>
      </x:c>
      <x:c r="U17" s="45" t="str">
        <x:v>В карточке Яндекс Карт основным цифровым каналом указан VK или мессенджер; отдельный сайт не указан.</x:v>
      </x:c>
      <x:c r="V17" s="45" t="str">
        <x:v>Демо-лендинг: ремонт выхлопной системы, ремонт тормозной системы, ремонт пластиковых бамперов, ремонт АКПП, ремонт двигателя + Яндекс Карты, отзывы и мессенджеры.</x:v>
      </x:c>
      <x:c r="W17" s="47" t="n">
        <x:v>9</x:v>
      </x:c>
      <x:c r="X17" s="45" t="str">
        <x:v>Да</x:v>
      </x:c>
      <x:c r="Y17" s="45" t="str">
        <x:v>https://vk.com/club16756281</x:v>
      </x:c>
      <x:c r="Z17" s="45" t="str"/>
      <x:c r="AA17" s="45" t="str"/>
      <x:c r="AB17" s="48" t="str">
        <x:v>2026-08-21</x:v>
      </x:c>
      <x:c r="AC17" s="45" t="str">
        <x:v>Источник: публичная карточка Яндекс Карт; число отзывов взято из вкладки «Отзывы».</x:v>
      </x:c>
      <x:c r="AD17" s="58" t="str">
        <x:v>https://qasite.ru/templates/auto-service/?client=pskov-012-avtoservis-24</x:v>
      </x:c>
    </x:row>
    <x:row r="18" ht="44" customHeight="1">
      <x:c r="A18" s="45" t="str">
        <x:v>PSK-013</x:v>
      </x:c>
      <x:c r="B18" s="45" t="str">
        <x:v>Псковская область</x:v>
      </x:c>
      <x:c r="C18" s="45" t="str">
        <x:v>Псков</x:v>
      </x:c>
      <x:c r="D18" s="45" t="str">
        <x:v>Tes Auto</x:v>
      </x:c>
      <x:c r="E18" s="45" t="str">
        <x:v>Октябрьский просп., 50, корп. 1, Псков</x:v>
      </x:c>
      <x:c r="F18" s="45" t="str">
        <x:v>+7 (921) 703-37-77</x:v>
      </x:c>
      <x:c r="G18" s="46" t="n">
        <x:v>5</x:v>
      </x:c>
      <x:c r="H18" s="47" t="n">
        <x:v>54</x:v>
      </x:c>
      <x:c r="I18" s="45" t="str">
        <x:v>Открыто до 19:00</x:v>
      </x:c>
      <x:c r="J18" s="45" t="str">
        <x:v>ремонт дисков, ремонт деталей АКПП, ремонт системы охлаждения, ремонт гидроусилителя руля, проточка тормозных дисков</x:v>
      </x:c>
      <x:c r="K18" s="45" t="str">
        <x:v>https://yandex.ru/maps/org/tes_auto/64233581306/</x:v>
      </x:c>
      <x:c r="L18" s="47" t="str">
        <x:v>64233581306</x:v>
      </x:c>
      <x:c r="M18" s="45" t="str">
        <x:v>https://vk.ru/tesautopskov</x:v>
      </x:c>
      <x:c r="N18" s="45" t="str"/>
      <x:c r="O18" s="45" t="str">
        <x:v>только публичный профиль</x:v>
      </x:c>
      <x:c r="P18" s="45" t="str">
        <x:v>VK</x:v>
      </x:c>
      <x:c r="Q18" s="45" t="str">
        <x:v>Карточка Яндекс</x:v>
      </x:c>
      <x:c r="R18" s="45" t="str">
        <x:v>совпадает с карточкой Яндекс</x:v>
      </x:c>
      <x:c r="S18" s="45" t="str">
        <x:v>B</x:v>
      </x:c>
      <x:c r="T18" s="45" t="str">
        <x:v>B</x:v>
      </x:c>
      <x:c r="U18" s="45" t="str">
        <x:v>В карточке Яндекс Карт основным цифровым каналом указан VK или мессенджер; отдельный сайт не указан.</x:v>
      </x:c>
      <x:c r="V18" s="45" t="str">
        <x:v>Демо-лендинг: ремонт дисков, ремонт деталей АКПП, ремонт системы охлаждения, ремонт гидроусилителя руля, проточка тормозных дисков + Яндекс Карты, отзывы и мессенджеры.</x:v>
      </x:c>
      <x:c r="W18" s="47" t="n">
        <x:v>9</x:v>
      </x:c>
      <x:c r="X18" s="45" t="str">
        <x:v>Да</x:v>
      </x:c>
      <x:c r="Y18" s="45" t="str">
        <x:v>https://vk.ru/tesautopskov</x:v>
      </x:c>
      <x:c r="Z18" s="45" t="str"/>
      <x:c r="AA18" s="45" t="str">
        <x:v>https://t.me/TesAuto</x:v>
      </x:c>
      <x:c r="AB18" s="48" t="str">
        <x:v>2026-08-21</x:v>
      </x:c>
      <x:c r="AC18" s="45" t="str">
        <x:v>Источник: публичная карточка Яндекс Карт; число отзывов взято из вкладки «Отзывы».</x:v>
      </x:c>
      <x:c r="AD18" s="58" t="str">
        <x:v>https://qasite.ru/templates/auto-service/?client=pskov-013-tes-auto</x:v>
      </x:c>
    </x:row>
    <x:row r="19" ht="44" customHeight="1">
      <x:c r="A19" s="41" t="str">
        <x:v>PSK-014</x:v>
      </x:c>
      <x:c r="B19" s="41" t="str">
        <x:v>Псковская область</x:v>
      </x:c>
      <x:c r="C19" s="41" t="str">
        <x:v>Псков</x:v>
      </x:c>
      <x:c r="D19" s="41" t="str">
        <x:v>Электрон-авто</x:v>
      </x:c>
      <x:c r="E19" s="41" t="str">
        <x:v>ул. Леона Поземского, 76, Псков</x:v>
      </x:c>
      <x:c r="F19" s="41" t="str">
        <x:v>+7 (909) 575-79-79</x:v>
      </x:c>
      <x:c r="G19" s="42" t="n">
        <x:v>4.8</x:v>
      </x:c>
      <x:c r="H19" s="43" t="n">
        <x:v>44</x:v>
      </x:c>
      <x:c r="I19" s="41" t="str">
        <x:v>Открыто до 18:00</x:v>
      </x:c>
      <x:c r="J19" s="41" t="str">
        <x:v>ремонт ГБЦ, ремонт топливной системы, ремонт генераторов, ремонт КПП, сигнализация</x:v>
      </x:c>
      <x:c r="K19" s="41" t="str">
        <x:v>https://yandex.ru/maps/org/elektron_avto/140160294320/</x:v>
      </x:c>
      <x:c r="L19" s="43" t="str">
        <x:v>140160294320</x:v>
      </x:c>
      <x:c r="M19" s="41" t="str">
        <x:v>https://xn----8sbgjzeqheovg6k.xn--p1ai</x:v>
      </x:c>
      <x:c r="N19" s="41" t="str">
        <x:v>https://xn----8sbgjzeqheovg6k.xn--p1ai</x:v>
      </x:c>
      <x:c r="O19" s="41" t="str">
        <x:v>домен указан, нужен аудит</x:v>
      </x:c>
      <x:c r="P19" s="41" t="str">
        <x:v>сайт на своём домене</x:v>
      </x:c>
      <x:c r="Q19" s="41" t="str">
        <x:v>Нет</x:v>
      </x:c>
      <x:c r="R19" s="41" t="str">
        <x:v>совпадает с карточкой Яндекс</x:v>
      </x:c>
      <x:c r="S19" s="41" t="str">
        <x:v>needs_review</x:v>
      </x:c>
      <x:c r="T19" s="41" t="str">
        <x:v>needs_review</x:v>
      </x:c>
      <x:c r="U19" s="41" t="str">
        <x:v>Яндекс Карты указывают самостоятельный домен; нужен быстрый аудит страниц услуг, записи и мобильной версии.</x:v>
      </x:c>
      <x:c r="V19" s="41" t="str">
        <x:v>Экспресс-аудит публичной ссылки и демо по услугам: ремонт ГБЦ, ремонт топливной системы, ремонт генераторов, ремонт КПП, сигнализация.</x:v>
      </x:c>
      <x:c r="W19" s="43" t="n">
        <x:v>5</x:v>
      </x:c>
      <x:c r="X19" s="41" t="str">
        <x:v>После аудита</x:v>
      </x:c>
      <x:c r="Y19" s="41" t="str">
        <x:v>https://vk.ru/elektron_avto</x:v>
      </x:c>
      <x:c r="Z19" s="41" t="str"/>
      <x:c r="AA19" s="41" t="str"/>
      <x:c r="AB19" s="44" t="str">
        <x:v>2026-08-21</x:v>
      </x:c>
      <x:c r="AC19" s="41" t="str">
        <x:v>Источник: публичная карточка Яндекс Карт; число отзывов взято из вкладки «Отзывы».</x:v>
      </x:c>
      <x:c r="AD19" s="58" t="str">
        <x:v>https://qasite.ru/templates/auto-service/?client=pskov-014-elektron-avto</x:v>
      </x:c>
    </x:row>
    <x:row r="20" ht="44" customHeight="1">
      <x:c r="A20" s="41" t="str">
        <x:v>PSK-015</x:v>
      </x:c>
      <x:c r="B20" s="41" t="str">
        <x:v>Псковская область</x:v>
      </x:c>
      <x:c r="C20" s="41" t="str">
        <x:v>Псков</x:v>
      </x:c>
      <x:c r="D20" s="41" t="str">
        <x:v>Автоэлектрик 60rus</x:v>
      </x:c>
      <x:c r="E20" s="41" t="str">
        <x:v>Гаражный пр., 18, стр. 13, Псков</x:v>
      </x:c>
      <x:c r="F20" s="41" t="str">
        <x:v>+7 (953) 233-52-98</x:v>
      </x:c>
      <x:c r="G20" s="42" t="n">
        <x:v>4.8</x:v>
      </x:c>
      <x:c r="H20" s="43" t="n">
        <x:v>43</x:v>
      </x:c>
      <x:c r="I20" s="41" t="str">
        <x:v>Круглосуточно</x:v>
      </x:c>
      <x:c r="J20" s="41" t="str">
        <x:v>сигнализация, ремонт автоэлектрики, компьютерная диагностика автомобиля Посещение с животными:разрешено с кошками и собаками Способ оплаты:банковским переводом, наличными </x:v>
      </x:c>
      <x:c r="K20" s="41" t="str">
        <x:v>https://yandex.ru/maps/org/avtoelektrik_60rus/97374368814/</x:v>
      </x:c>
      <x:c r="L20" s="43" t="str">
        <x:v>97374368814</x:v>
      </x:c>
      <x:c r="M20" s="41" t="str">
        <x:v>http://autoelectrik60rus.umi.ru</x:v>
      </x:c>
      <x:c r="N20" s="41" t="str">
        <x:v>http://autoelectrik60rus.umi.ru</x:v>
      </x:c>
      <x:c r="O20" s="41" t="str">
        <x:v>домен указан, нужен аудит</x:v>
      </x:c>
      <x:c r="P20" s="41" t="str">
        <x:v>сайт на своём домене</x:v>
      </x:c>
      <x:c r="Q20" s="41" t="str">
        <x:v>Нет</x:v>
      </x:c>
      <x:c r="R20" s="41" t="str">
        <x:v>совпадает с карточкой Яндекс</x:v>
      </x:c>
      <x:c r="S20" s="41" t="str">
        <x:v>needs_review</x:v>
      </x:c>
      <x:c r="T20" s="41" t="str">
        <x:v>needs_review</x:v>
      </x:c>
      <x:c r="U20" s="41" t="str">
        <x:v>Яндекс Карты указывают самостоятельный домен; нужен быстрый аудит страниц услуг, записи и мобильной версии.</x:v>
      </x:c>
      <x:c r="V20" s="41" t="str">
        <x:v>Экспресс-аудит публичной ссылки и демо по услугам: сигнализация, ремонт автоэлектрики, компьютерная диагностика автомобиля Посещение с животными:разрешено с кошками и собаками Способ оплаты:банковским переводом, наличными .</x:v>
      </x:c>
      <x:c r="W20" s="43" t="n">
        <x:v>5</x:v>
      </x:c>
      <x:c r="X20" s="41" t="str">
        <x:v>После аудита</x:v>
      </x:c>
      <x:c r="Y20" s="41" t="str">
        <x:v>https://vk.ru/auto60rus</x:v>
      </x:c>
      <x:c r="Z20" s="41" t="str">
        <x:v>https://wa.me/79532335298</x:v>
      </x:c>
      <x:c r="AA20" s="41" t="str">
        <x:v>https://t.me/+79532335298</x:v>
      </x:c>
      <x:c r="AB20" s="44" t="str">
        <x:v>2026-08-21</x:v>
      </x:c>
      <x:c r="AC20" s="41" t="str">
        <x:v>Источник: публичная карточка Яндекс Карт; число отзывов взято из вкладки «Отзывы».</x:v>
      </x:c>
      <x:c r="AD20" s="58" t="str">
        <x:v>https://qasite.ru/templates/auto-service/?client=pskov-015-avtoelektrik-60rus</x:v>
      </x:c>
    </x:row>
    <x:row r="21" ht="44" customHeight="1">
      <x:c r="A21" s="41" t="str">
        <x:v>PSK-016</x:v>
      </x:c>
      <x:c r="B21" s="41" t="str">
        <x:v>Псковская область</x:v>
      </x:c>
      <x:c r="C21" s="41" t="str">
        <x:v>Псков</x:v>
      </x:c>
      <x:c r="D21" s="41" t="str">
        <x:v>Arv service</x:v>
      </x:c>
      <x:c r="E21" s="41" t="str">
        <x:v>Инженерная ул., 94А, Псков</x:v>
      </x:c>
      <x:c r="F21" s="41" t="str">
        <x:v>+7 (921) 507-98-05</x:v>
      </x:c>
      <x:c r="G21" s="42" t="n">
        <x:v>5</x:v>
      </x:c>
      <x:c r="H21" s="43" t="n">
        <x:v>43</x:v>
      </x:c>
      <x:c r="I21" s="41" t="str">
        <x:v>график не раскрыт в карточке</x:v>
      </x:c>
      <x:c r="J21" s="41" t="str">
        <x:v>ремонт автомобильных люков, ремонт шаровых опор, ремонт рулевого редуктора, ремонт системы охлаждения, ремонт гидроусилителя руля</x:v>
      </x:c>
      <x:c r="K21" s="41" t="str">
        <x:v>https://yandex.ru/maps/org/arv_service/46754750945/</x:v>
      </x:c>
      <x:c r="L21" s="43" t="str">
        <x:v>46754750945</x:v>
      </x:c>
      <x:c r="M21" s="41" t="str"/>
      <x:c r="N21" s="41" t="str"/>
      <x:c r="O21" s="41" t="str">
        <x:v>внешняя ссылка не указана</x:v>
      </x:c>
      <x:c r="P21" s="41" t="str">
        <x:v>не указан</x:v>
      </x:c>
      <x:c r="Q21" s="41" t="str">
        <x:v>Нет — нужен точный поиск</x:v>
      </x:c>
      <x:c r="R21" s="41" t="str">
        <x:v>совпадает с карточкой Яндекс</x:v>
      </x:c>
      <x:c r="S21" s="41" t="str">
        <x:v>needs_review</x:v>
      </x:c>
      <x:c r="T21" s="41" t="str">
        <x:v>needs_review</x:v>
      </x:c>
      <x:c r="U21" s="41" t="str">
        <x:v>В карточке Яндекс Карт нет внешней ссылки; перед предложением нужен точный поиск сайта.</x:v>
      </x:c>
      <x:c r="V21" s="41" t="str">
        <x:v>Экспресс-аудит публичной ссылки и демо по услугам: ремонт автомобильных люков, ремонт шаровых опор, ремонт рулевого редуктора, ремонт системы охлаждения, ремонт гидроусилителя руля.</x:v>
      </x:c>
      <x:c r="W21" s="43" t="n">
        <x:v>7</x:v>
      </x:c>
      <x:c r="X21" s="41" t="str">
        <x:v>После поиска</x:v>
      </x:c>
      <x:c r="Y21" s="41" t="str"/>
      <x:c r="Z21" s="41" t="str"/>
      <x:c r="AA21" s="41" t="str"/>
      <x:c r="AB21" s="44" t="str">
        <x:v>2026-08-21</x:v>
      </x:c>
      <x:c r="AC21" s="41" t="str">
        <x:v>Источник: публичная карточка Яндекс Карт; число отзывов взято из вкладки «Отзывы».</x:v>
      </x:c>
      <x:c r="AD21" s="58" t="str">
        <x:v>https://qasite.ru/templates/auto-service/?client=pskov-016-arv-service</x:v>
      </x:c>
    </x:row>
    <x:row r="22" ht="44" customHeight="1">
      <x:c r="A22" s="41" t="str">
        <x:v>PSK-017</x:v>
      </x:c>
      <x:c r="B22" s="41" t="str">
        <x:v>Псковская область</x:v>
      </x:c>
      <x:c r="C22" s="41" t="str">
        <x:v>Псковский район</x:v>
      </x:c>
      <x:c r="D22" s="41" t="str">
        <x:v>Ремонт АКПП</x:v>
      </x:c>
      <x:c r="E22" s="41" t="str">
        <x:v>Урожайная ул., 133, садоводческое некоммерческое товарищество Родина</x:v>
      </x:c>
      <x:c r="F22" s="41" t="str">
        <x:v>+7 (953) 248-19-96</x:v>
      </x:c>
      <x:c r="G22" s="42" t="n">
        <x:v>4.9</x:v>
      </x:c>
      <x:c r="H22" s="43" t="n">
        <x:v>41</x:v>
      </x:c>
      <x:c r="I22" s="41" t="str">
        <x:v>Открыто до 17:00</x:v>
      </x:c>
      <x:c r="J22" s="41" t="str"/>
      <x:c r="K22" s="41" t="str">
        <x:v>https://yandex.ru/maps/org/remont_akpp/88994258048/</x:v>
      </x:c>
      <x:c r="L22" s="43" t="str">
        <x:v>88994258048</x:v>
      </x:c>
      <x:c r="M22" s="41" t="str"/>
      <x:c r="N22" s="41" t="str"/>
      <x:c r="O22" s="41" t="str">
        <x:v>внешняя ссылка не указана</x:v>
      </x:c>
      <x:c r="P22" s="41" t="str">
        <x:v>не указан</x:v>
      </x:c>
      <x:c r="Q22" s="41" t="str">
        <x:v>Нет — нужен точный поиск</x:v>
      </x:c>
      <x:c r="R22" s="41" t="str">
        <x:v>совпадает с карточкой Яндекс</x:v>
      </x:c>
      <x:c r="S22" s="41" t="str">
        <x:v>needs_review</x:v>
      </x:c>
      <x:c r="T22" s="41" t="str">
        <x:v>needs_review</x:v>
      </x:c>
      <x:c r="U22" s="41" t="str">
        <x:v>В карточке Яндекс Карт нет внешней ссылки; перед предложением нужен точный поиск сайта.</x:v>
      </x:c>
      <x:c r="V22" s="41" t="str">
        <x:v>Экспресс-аудит публичной ссылки и демо по услугам: услуги сервиса.</x:v>
      </x:c>
      <x:c r="W22" s="43" t="n">
        <x:v>7</x:v>
      </x:c>
      <x:c r="X22" s="41" t="str">
        <x:v>После поиска</x:v>
      </x:c>
      <x:c r="Y22" s="41" t="str"/>
      <x:c r="Z22" s="41" t="str"/>
      <x:c r="AA22" s="41" t="str"/>
      <x:c r="AB22" s="44" t="str">
        <x:v>2026-08-21</x:v>
      </x:c>
      <x:c r="AC22" s="41" t="str">
        <x:v>Источник: публичная карточка Яндекс Карт; число отзывов взято из вкладки «Отзывы».</x:v>
      </x:c>
      <x:c r="AD22" s="58" t="str">
        <x:v>https://qasite.ru/templates/auto-service/?client=pskov-017-remont-akpp</x:v>
      </x:c>
    </x:row>
    <x:row r="23" ht="44" customHeight="1">
      <x:c r="A23" s="45" t="str">
        <x:v>PSK-018</x:v>
      </x:c>
      <x:c r="B23" s="45" t="str">
        <x:v>Псковская область</x:v>
      </x:c>
      <x:c r="C23" s="45" t="str">
        <x:v>Псков</x:v>
      </x:c>
      <x:c r="D23" s="45" t="str">
        <x:v>АнтиКор60</x:v>
      </x:c>
      <x:c r="E23" s="45" t="str">
        <x:v>Алмазная ул., 9Б, Псков АК АнтиКор60</x:v>
      </x:c>
      <x:c r="F23" s="45" t="str">
        <x:v>+7 (900) 991-19-00</x:v>
      </x:c>
      <x:c r="G23" s="46" t="n">
        <x:v>5</x:v>
      </x:c>
      <x:c r="H23" s="47" t="n">
        <x:v>41</x:v>
      </x:c>
      <x:c r="I23" s="45" t="str">
        <x:v>Открыто до 19:00</x:v>
      </x:c>
      <x:c r="J23" s="45" t="str">
        <x:v>Автосервис, автотехцентр, Детейлинг, Нанесение покрытий</x:v>
      </x:c>
      <x:c r="K23" s="45" t="str">
        <x:v>https://yandex.ru/maps/org/antikor60/29822091190/</x:v>
      </x:c>
      <x:c r="L23" s="47" t="str">
        <x:v>29822091190</x:v>
      </x:c>
      <x:c r="M23" s="45" t="str">
        <x:v>https://vk.ru/anticorpsk60</x:v>
      </x:c>
      <x:c r="N23" s="45" t="str"/>
      <x:c r="O23" s="45" t="str">
        <x:v>только публичный профиль</x:v>
      </x:c>
      <x:c r="P23" s="45" t="str">
        <x:v>VK</x:v>
      </x:c>
      <x:c r="Q23" s="45" t="str">
        <x:v>Карточка Яндекс</x:v>
      </x:c>
      <x:c r="R23" s="45" t="str">
        <x:v>совпадает с карточкой Яндекс</x:v>
      </x:c>
      <x:c r="S23" s="45" t="str">
        <x:v>B</x:v>
      </x:c>
      <x:c r="T23" s="45" t="str">
        <x:v>B</x:v>
      </x:c>
      <x:c r="U23" s="45" t="str">
        <x:v>В карточке Яндекс Карт основным цифровым каналом указан VK или мессенджер; отдельный сайт не указан.</x:v>
      </x:c>
      <x:c r="V23" s="45" t="str">
        <x:v>Демо-лендинг: Автосервис, автотехцентр, Детейлинг, Нанесение покрытий + Яндекс Карты, отзывы и мессенджеры.</x:v>
      </x:c>
      <x:c r="W23" s="47" t="n">
        <x:v>9</x:v>
      </x:c>
      <x:c r="X23" s="45" t="str">
        <x:v>Да</x:v>
      </x:c>
      <x:c r="Y23" s="45" t="str">
        <x:v>https://vk.ru/anticorpsk60</x:v>
      </x:c>
      <x:c r="Z23" s="45" t="str">
        <x:v>https://wa.me/+79009911900</x:v>
      </x:c>
      <x:c r="AA23" s="45" t="str">
        <x:v>https://t.me/+79009911900</x:v>
      </x:c>
      <x:c r="AB23" s="48" t="str">
        <x:v>2026-08-21</x:v>
      </x:c>
      <x:c r="AC23" s="45" t="str">
        <x:v>Источник: публичная карточка Яндекс Карт; число отзывов взято из вкладки «Отзывы».</x:v>
      </x:c>
      <x:c r="AD23" s="58" t="str">
        <x:v>https://qasite.ru/templates/auto-service/?client=pskov-018-antikor60</x:v>
      </x:c>
    </x:row>
    <x:row r="24" ht="44" customHeight="1">
      <x:c r="A24" s="45" t="str">
        <x:v>PSK-019</x:v>
      </x:c>
      <x:c r="B24" s="45" t="str">
        <x:v>Псковская область</x:v>
      </x:c>
      <x:c r="C24" s="45" t="str">
        <x:v>Псков</x:v>
      </x:c>
      <x:c r="D24" s="45" t="str">
        <x:v>Start Plus</x:v>
      </x:c>
      <x:c r="E24" s="45" t="str">
        <x:v>Звёздная ул., 3А, Псков</x:v>
      </x:c>
      <x:c r="F24" s="45" t="str">
        <x:v>+7 (921) 003-43-46</x:v>
      </x:c>
      <x:c r="G24" s="46" t="n">
        <x:v>4.8</x:v>
      </x:c>
      <x:c r="H24" s="47" t="n">
        <x:v>40</x:v>
      </x:c>
      <x:c r="I24" s="45" t="str">
        <x:v>Открыто до 19:00</x:v>
      </x:c>
      <x:c r="J24" s="45" t="str">
        <x:v>ремонт автоэлектрики Способ оплаты:скидки на услуги льготным категориям, дисконтная система скидок, наличными, банковским переводом, онлайн</x:v>
      </x:c>
      <x:c r="K24" s="45" t="str">
        <x:v>https://yandex.ru/maps/org/start_plus/71231727499/</x:v>
      </x:c>
      <x:c r="L24" s="47" t="str">
        <x:v>71231727499</x:v>
      </x:c>
      <x:c r="M24" s="45" t="str">
        <x:v>https://vk.ru/startpluspsk</x:v>
      </x:c>
      <x:c r="N24" s="45" t="str"/>
      <x:c r="O24" s="45" t="str">
        <x:v>только публичный профиль</x:v>
      </x:c>
      <x:c r="P24" s="45" t="str">
        <x:v>VK</x:v>
      </x:c>
      <x:c r="Q24" s="45" t="str">
        <x:v>Карточка Яндекс</x:v>
      </x:c>
      <x:c r="R24" s="45" t="str">
        <x:v>совпадает с карточкой Яндекс</x:v>
      </x:c>
      <x:c r="S24" s="45" t="str">
        <x:v>B</x:v>
      </x:c>
      <x:c r="T24" s="45" t="str">
        <x:v>B</x:v>
      </x:c>
      <x:c r="U24" s="45" t="str">
        <x:v>В карточке Яндекс Карт основным цифровым каналом указан VK или мессенджер; отдельный сайт не указан.</x:v>
      </x:c>
      <x:c r="V24" s="45" t="str">
        <x:v>Демо-лендинг: ремонт автоэлектрики Способ оплаты:скидки на услуги льготным категориям, дисконтная система скидок, наличными, банковским переводом, онлайн + Яндекс Карты, отзывы и мессенджеры.</x:v>
      </x:c>
      <x:c r="W24" s="47" t="n">
        <x:v>9</x:v>
      </x:c>
      <x:c r="X24" s="45" t="str">
        <x:v>Да</x:v>
      </x:c>
      <x:c r="Y24" s="45" t="str">
        <x:v>https://vk.ru/startpluspsk</x:v>
      </x:c>
      <x:c r="Z24" s="45" t="str">
        <x:v>https://wa.me/89210034346</x:v>
      </x:c>
      <x:c r="AA24" s="45" t="str"/>
      <x:c r="AB24" s="48" t="str">
        <x:v>2026-08-21</x:v>
      </x:c>
      <x:c r="AC24" s="45" t="str">
        <x:v>Источник: публичная карточка Яндекс Карт; число отзывов взято из вкладки «Отзывы».</x:v>
      </x:c>
      <x:c r="AD24" s="58" t="str">
        <x:v>https://qasite.ru/templates/auto-service/?client=pskov-019-start-plus</x:v>
      </x:c>
    </x:row>
    <x:row r="25" ht="44" customHeight="1">
      <x:c r="A25" s="45" t="str">
        <x:v>PSK-020</x:v>
      </x:c>
      <x:c r="B25" s="45" t="str">
        <x:v>Псковская область</x:v>
      </x:c>
      <x:c r="C25" s="45" t="str">
        <x:v>Псков</x:v>
      </x:c>
      <x:c r="D25" s="45" t="str">
        <x:v>Правильный Авторемонт</x:v>
      </x:c>
      <x:c r="E25" s="45" t="str">
        <x:v>ул. Николая Васильева, 90Б, Псков</x:v>
      </x:c>
      <x:c r="F25" s="45" t="str">
        <x:v>+7 (921) 003-70-33</x:v>
      </x:c>
      <x:c r="G25" s="46" t="n">
        <x:v>5</x:v>
      </x:c>
      <x:c r="H25" s="47" t="n">
        <x:v>38</x:v>
      </x:c>
      <x:c r="I25" s="45" t="str">
        <x:v>Открыто до 21:00</x:v>
      </x:c>
      <x:c r="J25" s="45" t="str">
        <x:v>ремонт тормозной системы, ремонт двигателя, полное сервисное обслуживание, замена масла, установка парктроника</x:v>
      </x:c>
      <x:c r="K25" s="45" t="str">
        <x:v>https://yandex.ru/maps/org/pravilny_avtoremont/69662285719/</x:v>
      </x:c>
      <x:c r="L25" s="47" t="str">
        <x:v>69662285719</x:v>
      </x:c>
      <x:c r="M25" s="45" t="str">
        <x:v>https://vk.ru/remontavto60</x:v>
      </x:c>
      <x:c r="N25" s="45" t="str"/>
      <x:c r="O25" s="45" t="str">
        <x:v>только публичный профиль</x:v>
      </x:c>
      <x:c r="P25" s="45" t="str">
        <x:v>VK</x:v>
      </x:c>
      <x:c r="Q25" s="45" t="str">
        <x:v>Карточка Яндекс</x:v>
      </x:c>
      <x:c r="R25" s="45" t="str">
        <x:v>совпадает с карточкой Яндекс</x:v>
      </x:c>
      <x:c r="S25" s="45" t="str">
        <x:v>B</x:v>
      </x:c>
      <x:c r="T25" s="45" t="str">
        <x:v>B</x:v>
      </x:c>
      <x:c r="U25" s="45" t="str">
        <x:v>В карточке Яндекс Карт основным цифровым каналом указан VK или мессенджер; отдельный сайт не указан.</x:v>
      </x:c>
      <x:c r="V25" s="45" t="str">
        <x:v>Демо-лендинг: ремонт тормозной системы, ремонт двигателя, полное сервисное обслуживание, замена масла, установка парктроника + Яндекс Карты, отзывы и мессенджеры.</x:v>
      </x:c>
      <x:c r="W25" s="47" t="n">
        <x:v>9</x:v>
      </x:c>
      <x:c r="X25" s="45" t="str">
        <x:v>Да</x:v>
      </x:c>
      <x:c r="Y25" s="45" t="str">
        <x:v>https://vk.ru/remontavto60</x:v>
      </x:c>
      <x:c r="Z25" s="45" t="str">
        <x:v>https://wa.me/79210037033</x:v>
      </x:c>
      <x:c r="AA25" s="45" t="str"/>
      <x:c r="AB25" s="48" t="str">
        <x:v>2026-08-21</x:v>
      </x:c>
      <x:c r="AC25" s="45" t="str">
        <x:v>Источник: публичная карточка Яндекс Карт; число отзывов взято из вкладки «Отзывы».</x:v>
      </x:c>
      <x:c r="AD25" s="58" t="str">
        <x:v>https://qasite.ru/templates/auto-service/?client=pskov-020-pravilnyy-avtoremont</x:v>
      </x:c>
    </x:row>
    <x:row r="26" ht="44" customHeight="1">
      <x:c r="A26" s="41" t="str">
        <x:v>PSK-021</x:v>
      </x:c>
      <x:c r="B26" s="41" t="str">
        <x:v>Псковская область</x:v>
      </x:c>
      <x:c r="C26" s="41" t="str">
        <x:v>Псков</x:v>
      </x:c>
      <x:c r="D26" s="41" t="str">
        <x:v>Стартёры и Генераторы</x:v>
      </x:c>
      <x:c r="E26" s="41" t="str">
        <x:v>Инженерная ул., 1, лит.Е, Псков этаж 2</x:v>
      </x:c>
      <x:c r="F26" s="41" t="str">
        <x:v>+7 (911) 365-15-42</x:v>
      </x:c>
      <x:c r="G26" s="42" t="n">
        <x:v>4.3</x:v>
      </x:c>
      <x:c r="H26" s="43" t="n">
        <x:v>35</x:v>
      </x:c>
      <x:c r="I26" s="41" t="str">
        <x:v>Открыто до 18:00</x:v>
      </x:c>
      <x:c r="J26" s="41" t="str">
        <x:v>ремонт автоэлектрики Для лиц с ограниченными физическими возможностями:для людей с нарушением слуха, для людей с нарушением зрения </x:v>
      </x:c>
      <x:c r="K26" s="41" t="str">
        <x:v>https://yandex.ru/maps/org/startyory_i_generatory/1211231670/</x:v>
      </x:c>
      <x:c r="L26" s="43" t="str">
        <x:v>1211231670</x:v>
      </x:c>
      <x:c r="M26" s="41" t="str">
        <x:v>http://starter-pskov.ru</x:v>
      </x:c>
      <x:c r="N26" s="41" t="str">
        <x:v>http://starter-pskov.ru</x:v>
      </x:c>
      <x:c r="O26" s="41" t="str">
        <x:v>домен указан, нужен аудит</x:v>
      </x:c>
      <x:c r="P26" s="41" t="str">
        <x:v>сайт на своём домене</x:v>
      </x:c>
      <x:c r="Q26" s="41" t="str">
        <x:v>Нет</x:v>
      </x:c>
      <x:c r="R26" s="41" t="str">
        <x:v>совпадает с карточкой Яндекс</x:v>
      </x:c>
      <x:c r="S26" s="41" t="str">
        <x:v>needs_review</x:v>
      </x:c>
      <x:c r="T26" s="41" t="str">
        <x:v>needs_review</x:v>
      </x:c>
      <x:c r="U26" s="41" t="str">
        <x:v>Яндекс Карты указывают самостоятельный домен; нужен быстрый аудит страниц услуг, записи и мобильной версии.</x:v>
      </x:c>
      <x:c r="V26" s="41" t="str">
        <x:v>Экспресс-аудит публичной ссылки и демо по услугам: ремонт автоэлектрики Для лиц с ограниченными физическими возможностями:для людей с нарушением слуха, для людей с нарушением зрения .</x:v>
      </x:c>
      <x:c r="W26" s="43" t="n">
        <x:v>5</x:v>
      </x:c>
      <x:c r="X26" s="41" t="str">
        <x:v>После аудита</x:v>
      </x:c>
      <x:c r="Y26" s="41" t="str">
        <x:v>http://vk.ru/starterpskov</x:v>
      </x:c>
      <x:c r="Z26" s="41" t="str">
        <x:v>https://wa.me/79113651542</x:v>
      </x:c>
      <x:c r="AA26" s="41" t="str"/>
      <x:c r="AB26" s="44" t="str">
        <x:v>2026-08-21</x:v>
      </x:c>
      <x:c r="AC26" s="41" t="str">
        <x:v>Источник: публичная карточка Яндекс Карт; число отзывов взято из вкладки «Отзывы».</x:v>
      </x:c>
      <x:c r="AD26" s="58" t="str">
        <x:v>https://qasite.ru/templates/auto-service/?client=pskov-021-startery-i-generatory</x:v>
      </x:c>
    </x:row>
    <x:row r="27" ht="44" customHeight="1">
      <x:c r="A27" s="41" t="str">
        <x:v>PSK-022</x:v>
      </x:c>
      <x:c r="B27" s="41" t="str">
        <x:v>Псковская область</x:v>
      </x:c>
      <x:c r="C27" s="41" t="str">
        <x:v>Псков</x:v>
      </x:c>
      <x:c r="D27" s="41" t="str">
        <x:v>Vroom Vroom Avto</x:v>
      </x:c>
      <x:c r="E27" s="41" t="str">
        <x:v>ул. Труда, 68Б, Псков</x:v>
      </x:c>
      <x:c r="F27" s="41" t="str">
        <x:v>+7 (911) 898-69-16</x:v>
      </x:c>
      <x:c r="G27" s="42" t="n">
        <x:v>4.2</x:v>
      </x:c>
      <x:c r="H27" s="43" t="n">
        <x:v>35</x:v>
      </x:c>
      <x:c r="I27" s="41" t="str">
        <x:v>Открыто до 21:00</x:v>
      </x:c>
      <x:c r="J27" s="41" t="str">
        <x:v>Автосервис, автотехцентр, Ремонт двигателей, Шиномонтаж</x:v>
      </x:c>
      <x:c r="K27" s="41" t="str">
        <x:v>https://yandex.ru/maps/org/vroom_vroom_avto/131539238808/</x:v>
      </x:c>
      <x:c r="L27" s="43" t="str">
        <x:v>131539238808</x:v>
      </x:c>
      <x:c r="M27" s="41" t="str"/>
      <x:c r="N27" s="41" t="str"/>
      <x:c r="O27" s="41" t="str">
        <x:v>внешняя ссылка не указана</x:v>
      </x:c>
      <x:c r="P27" s="41" t="str">
        <x:v>не указан</x:v>
      </x:c>
      <x:c r="Q27" s="41" t="str">
        <x:v>Нет — нужен точный поиск</x:v>
      </x:c>
      <x:c r="R27" s="41" t="str">
        <x:v>совпадает с карточкой Яндекс</x:v>
      </x:c>
      <x:c r="S27" s="41" t="str">
        <x:v>needs_review</x:v>
      </x:c>
      <x:c r="T27" s="41" t="str">
        <x:v>needs_review</x:v>
      </x:c>
      <x:c r="U27" s="41" t="str">
        <x:v>В карточке Яндекс Карт нет внешней ссылки; перед предложением нужен точный поиск сайта.</x:v>
      </x:c>
      <x:c r="V27" s="41" t="str">
        <x:v>Экспресс-аудит публичной ссылки и демо по услугам: Автосервис, автотехцентр, Ремонт двигателей, Шиномонтаж.</x:v>
      </x:c>
      <x:c r="W27" s="43" t="n">
        <x:v>6</x:v>
      </x:c>
      <x:c r="X27" s="41" t="str">
        <x:v>После поиска</x:v>
      </x:c>
      <x:c r="Y27" s="41" t="str"/>
      <x:c r="Z27" s="41" t="str"/>
      <x:c r="AA27" s="41" t="str"/>
      <x:c r="AB27" s="44" t="str">
        <x:v>2026-08-21</x:v>
      </x:c>
      <x:c r="AC27" s="41" t="str">
        <x:v>Источник: публичная карточка Яндекс Карт; число отзывов взято из вкладки «Отзывы».</x:v>
      </x:c>
      <x:c r="AD27" s="58" t="str">
        <x:v>https://qasite.ru/templates/auto-service/?client=pskov-022-vroom-vroom-avto</x:v>
      </x:c>
    </x:row>
    <x:row r="28" ht="44" customHeight="1">
      <x:c r="A28" s="41" t="str">
        <x:v>PSK-023</x:v>
      </x:c>
      <x:c r="B28" s="41" t="str">
        <x:v>Псковская область</x:v>
      </x:c>
      <x:c r="C28" s="41" t="str">
        <x:v>Псков</x:v>
      </x:c>
      <x:c r="D28" s="41" t="str">
        <x:v>Киг-37</x:v>
      </x:c>
      <x:c r="E28" s="41" t="str">
        <x:v>Зональное ш., 32Б, Псков</x:v>
      </x:c>
      <x:c r="F28" s="41" t="str">
        <x:v>+7 (909) 576-60-00</x:v>
      </x:c>
      <x:c r="G28" s="42" t="n">
        <x:v>4.7</x:v>
      </x:c>
      <x:c r="H28" s="43" t="n">
        <x:v>32</x:v>
      </x:c>
      <x:c r="I28" s="41" t="str">
        <x:v>Открыто до 20:00</x:v>
      </x:c>
      <x:c r="J28" s="41" t="str">
        <x:v>заправка и ремонт автокондиционера, ремонт тормозной системы, ремонт двигателя, замена масла, установка парктроника</x:v>
      </x:c>
      <x:c r="K28" s="41" t="str">
        <x:v>https://yandex.ru/maps/org/kig_37/172057996988/</x:v>
      </x:c>
      <x:c r="L28" s="43" t="str">
        <x:v>172057996988</x:v>
      </x:c>
      <x:c r="M28" s="41" t="str"/>
      <x:c r="N28" s="41" t="str"/>
      <x:c r="O28" s="41" t="str">
        <x:v>внешняя ссылка не указана</x:v>
      </x:c>
      <x:c r="P28" s="41" t="str">
        <x:v>не указан</x:v>
      </x:c>
      <x:c r="Q28" s="41" t="str">
        <x:v>Нет — нужен точный поиск</x:v>
      </x:c>
      <x:c r="R28" s="41" t="str">
        <x:v>совпадает с карточкой Яндекс</x:v>
      </x:c>
      <x:c r="S28" s="41" t="str">
        <x:v>needs_review</x:v>
      </x:c>
      <x:c r="T28" s="41" t="str">
        <x:v>needs_review</x:v>
      </x:c>
      <x:c r="U28" s="41" t="str">
        <x:v>В карточке Яндекс Карт нет внешней ссылки; перед предложением нужен точный поиск сайта.</x:v>
      </x:c>
      <x:c r="V28" s="41" t="str">
        <x:v>Экспресс-аудит публичной ссылки и демо по услугам: заправка и ремонт автокондиционера, ремонт тормозной системы, ремонт двигателя, замена масла, установка парктроника.</x:v>
      </x:c>
      <x:c r="W28" s="43" t="n">
        <x:v>7</x:v>
      </x:c>
      <x:c r="X28" s="41" t="str">
        <x:v>После поиска</x:v>
      </x:c>
      <x:c r="Y28" s="41" t="str"/>
      <x:c r="Z28" s="41" t="str"/>
      <x:c r="AA28" s="41" t="str"/>
      <x:c r="AB28" s="44" t="str">
        <x:v>2026-08-21</x:v>
      </x:c>
      <x:c r="AC28" s="41" t="str">
        <x:v>Источник: публичная карточка Яндекс Карт; число отзывов взято из вкладки «Отзывы».</x:v>
      </x:c>
      <x:c r="AD28" s="58" t="str">
        <x:v>https://qasite.ru/templates/auto-service/?client=pskov-023-kig-37</x:v>
      </x:c>
    </x:row>
    <x:row r="29" ht="44" customHeight="1">
      <x:c r="A29" s="45" t="str">
        <x:v>PSK-024</x:v>
      </x:c>
      <x:c r="B29" s="45" t="str">
        <x:v>Псковская область</x:v>
      </x:c>
      <x:c r="C29" s="45" t="str">
        <x:v>Псков</x:v>
      </x:c>
      <x:c r="D29" s="45" t="str">
        <x:v>Форсаж - автосервис, запчасти для иномарок</x:v>
      </x:c>
      <x:c r="E29" s="45" t="str">
        <x:v>Октябрьский просп., 56А, Псков</x:v>
      </x:c>
      <x:c r="F29" s="45" t="str">
        <x:v>+7 (953) 232-26-26</x:v>
      </x:c>
      <x:c r="G29" s="46" t="n">
        <x:v>4.2</x:v>
      </x:c>
      <x:c r="H29" s="47" t="n">
        <x:v>29</x:v>
      </x:c>
      <x:c r="I29" s="45" t="str">
        <x:v>Открыто до 19:00</x:v>
      </x:c>
      <x:c r="J29" s="45" t="str">
        <x:v>ремонт тормозной системы, ремонт двигателя, полное сервисное обслуживание, замена масла, установка парктроника</x:v>
      </x:c>
      <x:c r="K29" s="45" t="str">
        <x:v>https://yandex.ru/maps/org/forsazh_avtoservis_zapchasti_dlya_inomarok/1162999072/</x:v>
      </x:c>
      <x:c r="L29" s="47" t="str">
        <x:v>1162999072</x:v>
      </x:c>
      <x:c r="M29" s="45" t="str">
        <x:v>https://forsazh-1690469515.clients.site</x:v>
      </x:c>
      <x:c r="N29" s="45" t="str">
        <x:v>https://forsazh-1690469515.clients.site</x:v>
      </x:c>
      <x:c r="O29" s="45" t="str">
        <x:v>публичная ссылка указана</x:v>
      </x:c>
      <x:c r="P29" s="45" t="str">
        <x:v>конструктор clients.site</x:v>
      </x:c>
      <x:c r="Q29" s="45" t="str">
        <x:v>Карточка Яндекс</x:v>
      </x:c>
      <x:c r="R29" s="45" t="str">
        <x:v>совпадает с карточкой Яндекс</x:v>
      </x:c>
      <x:c r="S29" s="45" t="str">
        <x:v>B</x:v>
      </x:c>
      <x:c r="T29" s="45" t="str">
        <x:v>B</x:v>
      </x:c>
      <x:c r="U29" s="45" t="str">
        <x:v>В карточке указан конструктор или профиль; отдельный сервисный сайт с услугами и записью не подтверждён.</x:v>
      </x:c>
      <x:c r="V29" s="45" t="str">
        <x:v>Демо-лендинг: ремонт тормозной системы, ремонт двигателя, полное сервисное обслуживание, замена масла, установка парктроника + Яндекс Карты, отзывы и мессенджеры.</x:v>
      </x:c>
      <x:c r="W29" s="47" t="n">
        <x:v>8</x:v>
      </x:c>
      <x:c r="X29" s="45" t="str">
        <x:v>Да</x:v>
      </x:c>
      <x:c r="Y29" s="45" t="str">
        <x:v>https://vk.ru/forsage60</x:v>
      </x:c>
      <x:c r="Z29" s="45" t="str">
        <x:v>https://wa.me/79532322626</x:v>
      </x:c>
      <x:c r="AA29" s="45" t="str">
        <x:v>https://t.me/+7</x:v>
      </x:c>
      <x:c r="AB29" s="48" t="str">
        <x:v>2026-08-21</x:v>
      </x:c>
      <x:c r="AC29" s="45" t="str">
        <x:v>Источник: публичная карточка Яндекс Карт; число отзывов взято из вкладки «Отзывы».</x:v>
      </x:c>
      <x:c r="AD29" s="58" t="str">
        <x:v>https://qasite.ru/templates/auto-service/?client=pskov-024-forsazh-avtoservis-zapchasti-dlya-inomar</x:v>
      </x:c>
    </x:row>
    <x:row r="30" ht="44" customHeight="1">
      <x:c r="A30" s="45" t="str">
        <x:v>PSK-025</x:v>
      </x:c>
      <x:c r="B30" s="45" t="str">
        <x:v>Псковская область</x:v>
      </x:c>
      <x:c r="C30" s="45" t="str">
        <x:v>Псков</x:v>
      </x:c>
      <x:c r="D30" s="45" t="str">
        <x:v>Five Servise</x:v>
      </x:c>
      <x:c r="E30" s="45" t="str">
        <x:v>Советская ул., 51, Псков</x:v>
      </x:c>
      <x:c r="F30" s="45" t="str">
        <x:v>+7 (911) 398-95-66</x:v>
      </x:c>
      <x:c r="G30" s="46" t="n">
        <x:v>4.5</x:v>
      </x:c>
      <x:c r="H30" s="47" t="n">
        <x:v>24</x:v>
      </x:c>
      <x:c r="I30" s="45" t="str">
        <x:v>Открыто до 19:00</x:v>
      </x:c>
      <x:c r="J30" s="45" t="str">
        <x:v>ремонт двигателя </x:v>
      </x:c>
      <x:c r="K30" s="45" t="str">
        <x:v>https://yandex.ru/maps/org/five_servise/27156686033/</x:v>
      </x:c>
      <x:c r="L30" s="47" t="str">
        <x:v>27156686033</x:v>
      </x:c>
      <x:c r="M30" s="45" t="str">
        <x:v>https://vk.ru/fiveservice.pskov</x:v>
      </x:c>
      <x:c r="N30" s="45" t="str"/>
      <x:c r="O30" s="45" t="str">
        <x:v>только публичный профиль</x:v>
      </x:c>
      <x:c r="P30" s="45" t="str">
        <x:v>VK</x:v>
      </x:c>
      <x:c r="Q30" s="45" t="str">
        <x:v>Карточка Яндекс</x:v>
      </x:c>
      <x:c r="R30" s="45" t="str">
        <x:v>совпадает с карточкой Яндекс</x:v>
      </x:c>
      <x:c r="S30" s="45" t="str">
        <x:v>B</x:v>
      </x:c>
      <x:c r="T30" s="45" t="str">
        <x:v>B</x:v>
      </x:c>
      <x:c r="U30" s="45" t="str">
        <x:v>В карточке Яндекс Карт основным цифровым каналом указан VK или мессенджер; отдельный сайт не указан.</x:v>
      </x:c>
      <x:c r="V30" s="45" t="str">
        <x:v>Демо-лендинг: ремонт двигателя  + Яндекс Карты, отзывы и мессенджеры.</x:v>
      </x:c>
      <x:c r="W30" s="47" t="n">
        <x:v>8</x:v>
      </x:c>
      <x:c r="X30" s="45" t="str">
        <x:v>Да</x:v>
      </x:c>
      <x:c r="Y30" s="45" t="str">
        <x:v>https://vk.ru/fiveservice.pskov</x:v>
      </x:c>
      <x:c r="Z30" s="45" t="str">
        <x:v>https://wa.me/79113989566</x:v>
      </x:c>
      <x:c r="AA30" s="45" t="str"/>
      <x:c r="AB30" s="48" t="str">
        <x:v>2026-08-21</x:v>
      </x:c>
      <x:c r="AC30" s="45" t="str">
        <x:v>Источник: публичная карточка Яндекс Карт; число отзывов взято из вкладки «Отзывы».</x:v>
      </x:c>
      <x:c r="AD30" s="58" t="str">
        <x:v>https://qasite.ru/templates/auto-service/?client=pskov-025-five-servise</x:v>
      </x:c>
    </x:row>
    <x:row r="31" ht="44" customHeight="1">
      <x:c r="A31" s="45" t="str">
        <x:v>PSK-026</x:v>
      </x:c>
      <x:c r="B31" s="45" t="str">
        <x:v>Псковская область</x:v>
      </x:c>
      <x:c r="C31" s="45" t="str">
        <x:v>Псков</x:v>
      </x:c>
      <x:c r="D31" s="45" t="str">
        <x:v>На 5 с плюсом</x:v>
      </x:c>
      <x:c r="E31" s="45" t="str">
        <x:v>Инженерная ул., 9, Псков</x:v>
      </x:c>
      <x:c r="F31" s="45" t="str">
        <x:v>+7 (911) 398-90-60</x:v>
      </x:c>
      <x:c r="G31" s="46" t="n">
        <x:v>4.3</x:v>
      </x:c>
      <x:c r="H31" s="47" t="n">
        <x:v>24</x:v>
      </x:c>
      <x:c r="I31" s="45" t="str">
        <x:v>Открыто до 19:00</x:v>
      </x:c>
      <x:c r="J31" s="45" t="str">
        <x:v>ремонт пластиковых бамперов, ремонт АКПП, ремонт двигателя, замена масла, покраска автомобиля</x:v>
      </x:c>
      <x:c r="K31" s="45" t="str">
        <x:v>https://yandex.ru/maps/org/na_5_s_plyusom/1192036916/</x:v>
      </x:c>
      <x:c r="L31" s="47" t="str">
        <x:v>1192036916</x:v>
      </x:c>
      <x:c r="M31" s="45" t="str">
        <x:v>https://wa.me/79113989060</x:v>
      </x:c>
      <x:c r="N31" s="45" t="str"/>
      <x:c r="O31" s="45" t="str">
        <x:v>только публичный профиль</x:v>
      </x:c>
      <x:c r="P31" s="45" t="str">
        <x:v>мессенджер</x:v>
      </x:c>
      <x:c r="Q31" s="45" t="str">
        <x:v>Карточка Яндекс</x:v>
      </x:c>
      <x:c r="R31" s="45" t="str">
        <x:v>совпадает с карточкой Яндекс</x:v>
      </x:c>
      <x:c r="S31" s="45" t="str">
        <x:v>B</x:v>
      </x:c>
      <x:c r="T31" s="45" t="str">
        <x:v>B</x:v>
      </x:c>
      <x:c r="U31" s="45" t="str">
        <x:v>В карточке Яндекс Карт основным цифровым каналом указан VK или мессенджер; отдельный сайт не указан.</x:v>
      </x:c>
      <x:c r="V31" s="45" t="str">
        <x:v>Демо-лендинг: ремонт пластиковых бамперов, ремонт АКПП, ремонт двигателя, замена масла, покраска автомобиля + Яндекс Карты, отзывы и мессенджеры.</x:v>
      </x:c>
      <x:c r="W31" s="47" t="n">
        <x:v>8</x:v>
      </x:c>
      <x:c r="X31" s="45" t="str">
        <x:v>Да</x:v>
      </x:c>
      <x:c r="Y31" s="45" t="str"/>
      <x:c r="Z31" s="45" t="str">
        <x:v>https://wa.me/79113989060</x:v>
      </x:c>
      <x:c r="AA31" s="45" t="str"/>
      <x:c r="AB31" s="48" t="str">
        <x:v>2026-08-21</x:v>
      </x:c>
      <x:c r="AC31" s="45" t="str">
        <x:v>Источник: публичная карточка Яндекс Карт; число отзывов взято из вкладки «Отзывы».</x:v>
      </x:c>
      <x:c r="AD31" s="58" t="str">
        <x:v>https://qasite.ru/templates/auto-service/?client=pskov-026-na-5-s-plyusom</x:v>
      </x:c>
    </x:row>
    <x:row r="32" ht="44" customHeight="1">
      <x:c r="A32" s="45" t="str">
        <x:v>PSK-027</x:v>
      </x:c>
      <x:c r="B32" s="45" t="str">
        <x:v>Псковская область</x:v>
      </x:c>
      <x:c r="C32" s="45" t="str">
        <x:v>Псковский район</x:v>
      </x:c>
      <x:c r="D32" s="45" t="str">
        <x:v>АВТОвыхлоп</x:v>
      </x:c>
      <x:c r="E32" s="45" t="str">
        <x:v>Балтийская ул., 12И, д. Борисовичи</x:v>
      </x:c>
      <x:c r="F32" s="45" t="str">
        <x:v>+7 (951) 754-86-06</x:v>
      </x:c>
      <x:c r="G32" s="46" t="n">
        <x:v>4.8</x:v>
      </x:c>
      <x:c r="H32" s="47" t="n">
        <x:v>23</x:v>
      </x:c>
      <x:c r="I32" s="45" t="str">
        <x:v>Открыто до 21:00</x:v>
      </x:c>
      <x:c r="J32" s="45" t="str">
        <x:v>ремонт выхлопной системы </x:v>
      </x:c>
      <x:c r="K32" s="45" t="str">
        <x:v>https://yandex.ru/maps/org/avtovykhlop/199350892290/</x:v>
      </x:c>
      <x:c r="L32" s="47" t="str">
        <x:v>199350892290</x:v>
      </x:c>
      <x:c r="M32" s="45" t="str">
        <x:v>https://vk.ru/autovihloppskov</x:v>
      </x:c>
      <x:c r="N32" s="45" t="str"/>
      <x:c r="O32" s="45" t="str">
        <x:v>только публичный профиль</x:v>
      </x:c>
      <x:c r="P32" s="45" t="str">
        <x:v>VK</x:v>
      </x:c>
      <x:c r="Q32" s="45" t="str">
        <x:v>Карточка Яндекс</x:v>
      </x:c>
      <x:c r="R32" s="45" t="str">
        <x:v>совпадает с карточкой Яндекс</x:v>
      </x:c>
      <x:c r="S32" s="45" t="str">
        <x:v>B</x:v>
      </x:c>
      <x:c r="T32" s="45" t="str">
        <x:v>B</x:v>
      </x:c>
      <x:c r="U32" s="45" t="str">
        <x:v>В карточке Яндекс Карт основным цифровым каналом указан VK или мессенджер; отдельный сайт не указан.</x:v>
      </x:c>
      <x:c r="V32" s="45" t="str">
        <x:v>Демо-лендинг: ремонт выхлопной системы  + Яндекс Карты, отзывы и мессенджеры.</x:v>
      </x:c>
      <x:c r="W32" s="47" t="n">
        <x:v>9</x:v>
      </x:c>
      <x:c r="X32" s="45" t="str">
        <x:v>Да</x:v>
      </x:c>
      <x:c r="Y32" s="45" t="str">
        <x:v>https://vk.ru/autovihloppskov</x:v>
      </x:c>
      <x:c r="Z32" s="45" t="str">
        <x:v>https://wa.me/+79532312682</x:v>
      </x:c>
      <x:c r="AA32" s="45" t="str"/>
      <x:c r="AB32" s="48" t="str">
        <x:v>2026-08-21</x:v>
      </x:c>
      <x:c r="AC32" s="45" t="str">
        <x:v>Источник: публичная карточка Яндекс Карт; число отзывов взято из вкладки «Отзывы».</x:v>
      </x:c>
      <x:c r="AD32" s="58" t="str">
        <x:v>https://qasite.ru/templates/auto-service/?client=pskov-027-avtovyhlop</x:v>
      </x:c>
    </x:row>
    <x:row r="33" ht="44" customHeight="1">
      <x:c r="A33" s="45" t="str">
        <x:v>PSK-028</x:v>
      </x:c>
      <x:c r="B33" s="45" t="str">
        <x:v>Псковская область</x:v>
      </x:c>
      <x:c r="C33" s="45" t="str">
        <x:v>Псковский район</x:v>
      </x:c>
      <x:c r="D33" s="45" t="str">
        <x:v>Мастер Дизель Псков</x:v>
      </x:c>
      <x:c r="E33" s="45" t="str">
        <x:v>Сосновая ул., 9, посёлок Корытово, Псков</x:v>
      </x:c>
      <x:c r="F33" s="45" t="str">
        <x:v>+7 (921) 003-03-08</x:v>
      </x:c>
      <x:c r="G33" s="46" t="n">
        <x:v>4.7</x:v>
      </x:c>
      <x:c r="H33" s="47" t="n">
        <x:v>22</x:v>
      </x:c>
      <x:c r="I33" s="45" t="str">
        <x:v>Открыто до 21:00</x:v>
      </x:c>
      <x:c r="J33" s="45" t="str">
        <x:v>заправка и ремонт автокондиционера, ремонт выхлопной системы, ремонт тормозной системы, ремонт АКПП, ремонт двигателя</x:v>
      </x:c>
      <x:c r="K33" s="45" t="str">
        <x:v>https://yandex.ru/maps/org/master_dizel_pskov/130204021321/</x:v>
      </x:c>
      <x:c r="L33" s="47" t="str">
        <x:v>130204021321</x:v>
      </x:c>
      <x:c r="M33" s="45" t="str">
        <x:v>https://vk.ru/diesel_pskov</x:v>
      </x:c>
      <x:c r="N33" s="45" t="str"/>
      <x:c r="O33" s="45" t="str">
        <x:v>только публичный профиль</x:v>
      </x:c>
      <x:c r="P33" s="45" t="str">
        <x:v>VK</x:v>
      </x:c>
      <x:c r="Q33" s="45" t="str">
        <x:v>Карточка Яндекс</x:v>
      </x:c>
      <x:c r="R33" s="45" t="str">
        <x:v>совпадает с карточкой Яндекс</x:v>
      </x:c>
      <x:c r="S33" s="45" t="str">
        <x:v>B</x:v>
      </x:c>
      <x:c r="T33" s="45" t="str">
        <x:v>B</x:v>
      </x:c>
      <x:c r="U33" s="45" t="str">
        <x:v>В карточке Яндекс Карт основным цифровым каналом указан VK или мессенджер; отдельный сайт не указан.</x:v>
      </x:c>
      <x:c r="V33" s="45" t="str">
        <x:v>Демо-лендинг: заправка и ремонт автокондиционера, ремонт выхлопной системы, ремонт тормозной системы, ремонт АКПП, ремонт двигателя + Яндекс Карты, отзывы и мессенджеры.</x:v>
      </x:c>
      <x:c r="W33" s="47" t="n">
        <x:v>9</x:v>
      </x:c>
      <x:c r="X33" s="45" t="str">
        <x:v>Да</x:v>
      </x:c>
      <x:c r="Y33" s="45" t="str">
        <x:v>https://vk.ru/diesel_pskov</x:v>
      </x:c>
      <x:c r="Z33" s="45" t="str">
        <x:v>https://wa.me/79210030308</x:v>
      </x:c>
      <x:c r="AA33" s="45" t="str"/>
      <x:c r="AB33" s="48" t="str">
        <x:v>2026-08-21</x:v>
      </x:c>
      <x:c r="AC33" s="45" t="str">
        <x:v>Источник: публичная карточка Яндекс Карт; число отзывов взято из вкладки «Отзывы».</x:v>
      </x:c>
      <x:c r="AD33" s="58" t="str">
        <x:v>https://qasite.ru/templates/auto-service/?client=pskov-028-master-dizel-pskov</x:v>
      </x:c>
    </x:row>
    <x:row r="34" ht="44" customHeight="1">
      <x:c r="A34" s="41" t="str">
        <x:v>PSK-029</x:v>
      </x:c>
      <x:c r="B34" s="41" t="str">
        <x:v>Псковская область</x:v>
      </x:c>
      <x:c r="C34" s="41" t="str">
        <x:v>Псков</x:v>
      </x:c>
      <x:c r="D34" s="41" t="str">
        <x:v>ТракСервис</x:v>
      </x:c>
      <x:c r="E34" s="41" t="str">
        <x:v>ул. Леона Поземского, 121, корп. 1, Псков</x:v>
      </x:c>
      <x:c r="F34" s="41" t="str">
        <x:v>+7 (931) 901-74-77</x:v>
      </x:c>
      <x:c r="G34" s="42" t="n">
        <x:v>4.4</x:v>
      </x:c>
      <x:c r="H34" s="43" t="n">
        <x:v>21</x:v>
      </x:c>
      <x:c r="I34" s="41" t="str">
        <x:v>Открыто до 18:00</x:v>
      </x:c>
      <x:c r="J34" s="41" t="str">
        <x:v>предрейсовый техосмотр, ремонт выхлопной системы, ремонт тормозной системы, ремонт АКПП, ремонт двигателя</x:v>
      </x:c>
      <x:c r="K34" s="41" t="str">
        <x:v>https://yandex.ru/maps/org/trakservis/159473227777/</x:v>
      </x:c>
      <x:c r="L34" s="43" t="str">
        <x:v>159473227777</x:v>
      </x:c>
      <x:c r="M34" s="41" t="str">
        <x:v>http://truck60.ru</x:v>
      </x:c>
      <x:c r="N34" s="41" t="str">
        <x:v>http://truck60.ru</x:v>
      </x:c>
      <x:c r="O34" s="41" t="str">
        <x:v>домен указан, нужен аудит</x:v>
      </x:c>
      <x:c r="P34" s="41" t="str">
        <x:v>сайт на своём домене</x:v>
      </x:c>
      <x:c r="Q34" s="41" t="str">
        <x:v>Нет</x:v>
      </x:c>
      <x:c r="R34" s="41" t="str">
        <x:v>совпадает с карточкой Яндекс</x:v>
      </x:c>
      <x:c r="S34" s="41" t="str">
        <x:v>needs_review</x:v>
      </x:c>
      <x:c r="T34" s="41" t="str">
        <x:v>needs_review</x:v>
      </x:c>
      <x:c r="U34" s="41" t="str">
        <x:v>Яндекс Карты указывают самостоятельный домен; нужен быстрый аудит страниц услуг, записи и мобильной версии.</x:v>
      </x:c>
      <x:c r="V34" s="41" t="str">
        <x:v>Экспресс-аудит публичной ссылки и демо по услугам: предрейсовый техосмотр, ремонт выхлопной системы, ремонт тормозной системы, ремонт АКПП, ремонт двигателя.</x:v>
      </x:c>
      <x:c r="W34" s="43" t="n">
        <x:v>5</x:v>
      </x:c>
      <x:c r="X34" s="41" t="str">
        <x:v>После аудита</x:v>
      </x:c>
      <x:c r="Y34" s="41" t="str">
        <x:v>https://vk.ru/truck60</x:v>
      </x:c>
      <x:c r="Z34" s="41" t="str">
        <x:v>https://wa.me/+7-931-901-74-77</x:v>
      </x:c>
      <x:c r="AA34" s="41" t="str">
        <x:v>https://t.me/truck60</x:v>
      </x:c>
      <x:c r="AB34" s="44" t="str">
        <x:v>2026-08-21</x:v>
      </x:c>
      <x:c r="AC34" s="41" t="str">
        <x:v>Источник: публичная карточка Яндекс Карт; число отзывов взято из вкладки «Отзывы».</x:v>
      </x:c>
      <x:c r="AD34" s="58" t="str">
        <x:v>https://qasite.ru/templates/auto-service/?client=pskov-029-trakservis</x:v>
      </x:c>
    </x:row>
    <x:row r="35" ht="44" customHeight="1">
      <x:c r="A35" s="45" t="str">
        <x:v>PSK-030</x:v>
      </x:c>
      <x:c r="B35" s="45" t="str">
        <x:v>Псковская область</x:v>
      </x:c>
      <x:c r="C35" s="45" t="str">
        <x:v>Псковский район</x:v>
      </x:c>
      <x:c r="D35" s="45" t="str">
        <x:v>Мб Моторс</x:v>
      </x:c>
      <x:c r="E35" s="45" t="str">
        <x:v>д. Уграда, 18</x:v>
      </x:c>
      <x:c r="F35" s="45" t="str">
        <x:v>+7 (911) 358-59-99</x:v>
      </x:c>
      <x:c r="G35" s="46" t="n">
        <x:v>5</x:v>
      </x:c>
      <x:c r="H35" s="47" t="n">
        <x:v>21</x:v>
      </x:c>
      <x:c r="I35" s="45" t="str">
        <x:v>Открыто до 19:00</x:v>
      </x:c>
      <x:c r="J35" s="45" t="str">
        <x:v>полное сервисное обслуживание, ремонт генераторов, ремонт сцепления, ремонт тормозной системы, удаление катализаторов</x:v>
      </x:c>
      <x:c r="K35" s="45" t="str">
        <x:v>https://yandex.ru/maps/org/mb_motors/107788993104/</x:v>
      </x:c>
      <x:c r="L35" s="47" t="str">
        <x:v>107788993104</x:v>
      </x:c>
      <x:c r="M35" s="45" t="str">
        <x:v>https://t.me/MBMotors60</x:v>
      </x:c>
      <x:c r="N35" s="45" t="str"/>
      <x:c r="O35" s="45" t="str">
        <x:v>только публичный профиль</x:v>
      </x:c>
      <x:c r="P35" s="45" t="str">
        <x:v>мессенджер</x:v>
      </x:c>
      <x:c r="Q35" s="45" t="str">
        <x:v>Карточка Яндекс</x:v>
      </x:c>
      <x:c r="R35" s="45" t="str">
        <x:v>совпадает с карточкой Яндекс</x:v>
      </x:c>
      <x:c r="S35" s="45" t="str">
        <x:v>B</x:v>
      </x:c>
      <x:c r="T35" s="45" t="str">
        <x:v>B</x:v>
      </x:c>
      <x:c r="U35" s="45" t="str">
        <x:v>В карточке Яндекс Карт основным цифровым каналом указан VK или мессенджер; отдельный сайт не указан.</x:v>
      </x:c>
      <x:c r="V35" s="45" t="str">
        <x:v>Демо-лендинг: полное сервисное обслуживание, ремонт генераторов, ремонт сцепления, ремонт тормозной системы, удаление катализаторов + Яндекс Карты, отзывы и мессенджеры.</x:v>
      </x:c>
      <x:c r="W35" s="47" t="n">
        <x:v>9</x:v>
      </x:c>
      <x:c r="X35" s="45" t="str">
        <x:v>Да</x:v>
      </x:c>
      <x:c r="Y35" s="45" t="str"/>
      <x:c r="Z35" s="45" t="str">
        <x:v>https://wa.me/79113585999</x:v>
      </x:c>
      <x:c r="AA35" s="45" t="str">
        <x:v>https://t.me/MBMotors60</x:v>
      </x:c>
      <x:c r="AB35" s="48" t="str">
        <x:v>2026-08-21</x:v>
      </x:c>
      <x:c r="AC35" s="45" t="str">
        <x:v>Источник: публичная карточка Яндекс Карт; число отзывов взято из вкладки «Отзывы».</x:v>
      </x:c>
      <x:c r="AD35" s="58" t="str">
        <x:v>https://qasite.ru/templates/auto-service/?client=pskov-030-mb-motors</x:v>
      </x:c>
    </x:row>
    <x:row r="36" ht="44" customHeight="1">
      <x:c r="A36" s="41" t="str">
        <x:v>PSK-031</x:v>
      </x:c>
      <x:c r="B36" s="41" t="str">
        <x:v>Псковская область</x:v>
      </x:c>
      <x:c r="C36" s="41" t="str">
        <x:v>Псков</x:v>
      </x:c>
      <x:c r="D36" s="41" t="str">
        <x:v>Remcar60</x:v>
      </x:c>
      <x:c r="E36" s="41" t="str">
        <x:v>Шоссейная ул., 2И, Псков</x:v>
      </x:c>
      <x:c r="F36" s="41" t="str">
        <x:v>+7 (960) 224-71-94</x:v>
      </x:c>
      <x:c r="G36" s="42" t="n">
        <x:v>4.7</x:v>
      </x:c>
      <x:c r="H36" s="43" t="n">
        <x:v>20</x:v>
      </x:c>
      <x:c r="I36" s="41" t="str">
        <x:v>Открыто до 19:00</x:v>
      </x:c>
      <x:c r="J36" s="41" t="str">
        <x:v>Шиномонтаж, Автосервис, автотехцентр, Магазин автозапчастей и автотоваров</x:v>
      </x:c>
      <x:c r="K36" s="41" t="str">
        <x:v>https://yandex.ru/maps/org/remcar60/167400993761/</x:v>
      </x:c>
      <x:c r="L36" s="43" t="str">
        <x:v>167400993761</x:v>
      </x:c>
      <x:c r="M36" s="41" t="str"/>
      <x:c r="N36" s="41" t="str"/>
      <x:c r="O36" s="41" t="str">
        <x:v>внешняя ссылка не указана</x:v>
      </x:c>
      <x:c r="P36" s="41" t="str">
        <x:v>не указан</x:v>
      </x:c>
      <x:c r="Q36" s="41" t="str">
        <x:v>Нет — нужен точный поиск</x:v>
      </x:c>
      <x:c r="R36" s="41" t="str">
        <x:v>совпадает с карточкой Яндекс</x:v>
      </x:c>
      <x:c r="S36" s="41" t="str">
        <x:v>needs_review</x:v>
      </x:c>
      <x:c r="T36" s="41" t="str">
        <x:v>needs_review</x:v>
      </x:c>
      <x:c r="U36" s="41" t="str">
        <x:v>В карточке Яндекс Карт нет внешней ссылки; перед предложением нужен точный поиск сайта.</x:v>
      </x:c>
      <x:c r="V36" s="41" t="str">
        <x:v>Экспресс-аудит публичной ссылки и демо по услугам: Шиномонтаж, Автосервис, автотехцентр, Магазин автозапчастей и автотоваров.</x:v>
      </x:c>
      <x:c r="W36" s="43" t="n">
        <x:v>7</x:v>
      </x:c>
      <x:c r="X36" s="41" t="str">
        <x:v>После поиска</x:v>
      </x:c>
      <x:c r="Y36" s="41" t="str"/>
      <x:c r="Z36" s="41" t="str"/>
      <x:c r="AA36" s="41" t="str"/>
      <x:c r="AB36" s="44" t="str">
        <x:v>2026-08-21</x:v>
      </x:c>
      <x:c r="AC36" s="41" t="str">
        <x:v>Источник: публичная карточка Яндекс Карт; число отзывов взято из вкладки «Отзывы».</x:v>
      </x:c>
      <x:c r="AD36" s="58" t="str">
        <x:v>https://qasite.ru/templates/auto-service/?client=pskov-031-remcar60</x:v>
      </x:c>
    </x:row>
    <x:row r="37" ht="44" customHeight="1">
      <x:c r="A37" s="41" t="str">
        <x:v>PSK-032</x:v>
      </x:c>
      <x:c r="B37" s="41" t="str">
        <x:v>Псковская область</x:v>
      </x:c>
      <x:c r="C37" s="41" t="str">
        <x:v>Псков</x:v>
      </x:c>
      <x:c r="D37" s="41" t="str">
        <x:v>Сервис. Перевозчик. 60</x:v>
      </x:c>
      <x:c r="E37" s="41" t="str">
        <x:v>Дачная ул., 2Б, Псков этаж 2</x:v>
      </x:c>
      <x:c r="F37" s="41" t="str">
        <x:v>+7 (921) 500-00-60</x:v>
      </x:c>
      <x:c r="G37" s="42" t="n">
        <x:v>4.7</x:v>
      </x:c>
      <x:c r="H37" s="43" t="n">
        <x:v>18</x:v>
      </x:c>
      <x:c r="I37" s="41" t="str">
        <x:v>Открыто до 18:00</x:v>
      </x:c>
      <x:c r="J37" s="41" t="str">
        <x:v>заправка и ремонт автокондиционера, ремонт выхлопной системы, ремонт АКПП, ремонт двигателя, полное сервисное обслуживание</x:v>
      </x:c>
      <x:c r="K37" s="41" t="str">
        <x:v>https://yandex.ru/maps/org/servis_perevozchik_60/12993871375/</x:v>
      </x:c>
      <x:c r="L37" s="43" t="str">
        <x:v>12993871375</x:v>
      </x:c>
      <x:c r="M37" s="41" t="str">
        <x:v>http://www.perevozchik60.ru</x:v>
      </x:c>
      <x:c r="N37" s="41" t="str">
        <x:v>http://www.perevozchik60.ru</x:v>
      </x:c>
      <x:c r="O37" s="41" t="str">
        <x:v>домен указан, нужен аудит</x:v>
      </x:c>
      <x:c r="P37" s="41" t="str">
        <x:v>сайт на своём домене</x:v>
      </x:c>
      <x:c r="Q37" s="41" t="str">
        <x:v>Нет</x:v>
      </x:c>
      <x:c r="R37" s="41" t="str">
        <x:v>совпадает с карточкой Яндекс</x:v>
      </x:c>
      <x:c r="S37" s="41" t="str">
        <x:v>needs_review</x:v>
      </x:c>
      <x:c r="T37" s="41" t="str">
        <x:v>needs_review</x:v>
      </x:c>
      <x:c r="U37" s="41" t="str">
        <x:v>Яндекс Карты указывают самостоятельный домен; нужен быстрый аудит страниц услуг, записи и мобильной версии.</x:v>
      </x:c>
      <x:c r="V37" s="41" t="str">
        <x:v>Экспресс-аудит публичной ссылки и демо по услугам: заправка и ремонт автокондиционера, ремонт выхлопной системы, ремонт АКПП, ремонт двигателя, полное сервисное обслуживание.</x:v>
      </x:c>
      <x:c r="W37" s="43" t="n">
        <x:v>5</x:v>
      </x:c>
      <x:c r="X37" s="41" t="str">
        <x:v>После аудита</x:v>
      </x:c>
      <x:c r="Y37" s="41" t="str"/>
      <x:c r="Z37" s="41" t="str">
        <x:v>https://wa.me/89215000060</x:v>
      </x:c>
      <x:c r="AA37" s="41" t="str"/>
      <x:c r="AB37" s="44" t="str">
        <x:v>2026-08-21</x:v>
      </x:c>
      <x:c r="AC37" s="41" t="str">
        <x:v>Источник: публичная карточка Яндекс Карт; число отзывов взято из вкладки «Отзывы».</x:v>
      </x:c>
      <x:c r="AD37" s="58" t="str">
        <x:v>https://qasite.ru/templates/auto-service/?client=pskov-032-servis-perevozchik-60</x:v>
      </x:c>
    </x:row>
    <x:row r="38" ht="44" customHeight="1">
      <x:c r="A38" s="41" t="str">
        <x:v>PSK-033</x:v>
      </x:c>
      <x:c r="B38" s="41" t="str">
        <x:v>Псковская область</x:v>
      </x:c>
      <x:c r="C38" s="41" t="str">
        <x:v>Псков</x:v>
      </x:c>
      <x:c r="D38" s="41" t="str">
        <x:v>Машсервис</x:v>
      </x:c>
      <x:c r="E38" s="41" t="str">
        <x:v>Вокзальная ул., 22А, Псков</x:v>
      </x:c>
      <x:c r="F38" s="41" t="str">
        <x:v>+7 (960) 222-31-70</x:v>
      </x:c>
      <x:c r="G38" s="42" t="n">
        <x:v>4.3</x:v>
      </x:c>
      <x:c r="H38" s="43" t="n">
        <x:v>15</x:v>
      </x:c>
      <x:c r="I38" s="41" t="str">
        <x:v>Открыто до 18:00</x:v>
      </x:c>
      <x:c r="J38" s="41" t="str">
        <x:v>ремонт выхлопной системы, ремонт тормозной системы, ремонт АКПП, ремонт двигателя, полное сервисное обслуживание</x:v>
      </x:c>
      <x:c r="K38" s="41" t="str">
        <x:v>https://yandex.ru/maps/org/mashservis/1014058766/</x:v>
      </x:c>
      <x:c r="L38" s="43" t="str">
        <x:v>1014058766</x:v>
      </x:c>
      <x:c r="M38" s="41" t="str">
        <x:v>http://ms60.ru</x:v>
      </x:c>
      <x:c r="N38" s="41" t="str">
        <x:v>http://ms60.ru</x:v>
      </x:c>
      <x:c r="O38" s="41" t="str">
        <x:v>домен указан, нужен аудит</x:v>
      </x:c>
      <x:c r="P38" s="41" t="str">
        <x:v>сайт на своём домене</x:v>
      </x:c>
      <x:c r="Q38" s="41" t="str">
        <x:v>Нет</x:v>
      </x:c>
      <x:c r="R38" s="41" t="str">
        <x:v>совпадает с карточкой Яндекс</x:v>
      </x:c>
      <x:c r="S38" s="41" t="str">
        <x:v>needs_review</x:v>
      </x:c>
      <x:c r="T38" s="41" t="str">
        <x:v>needs_review</x:v>
      </x:c>
      <x:c r="U38" s="41" t="str">
        <x:v>Яндекс Карты указывают самостоятельный домен; нужен быстрый аудит страниц услуг, записи и мобильной версии.</x:v>
      </x:c>
      <x:c r="V38" s="41" t="str">
        <x:v>Экспресс-аудит публичной ссылки и демо по услугам: ремонт выхлопной системы, ремонт тормозной системы, ремонт АКПП, ремонт двигателя, полное сервисное обслуживание.</x:v>
      </x:c>
      <x:c r="W38" s="43" t="n">
        <x:v>5</x:v>
      </x:c>
      <x:c r="X38" s="41" t="str">
        <x:v>После аудита</x:v>
      </x:c>
      <x:c r="Y38" s="41" t="str">
        <x:v>https://vk.ru/mashservicepskov</x:v>
      </x:c>
      <x:c r="Z38" s="41" t="str"/>
      <x:c r="AA38" s="41" t="str"/>
      <x:c r="AB38" s="44" t="str">
        <x:v>2026-08-21</x:v>
      </x:c>
      <x:c r="AC38" s="41" t="str">
        <x:v>Источник: публичная карточка Яндекс Карт; число отзывов взято из вкладки «Отзывы».</x:v>
      </x:c>
      <x:c r="AD38" s="58" t="str">
        <x:v>https://qasite.ru/templates/auto-service/?client=pskov-033-mashservis</x:v>
      </x:c>
    </x:row>
    <x:row r="39" ht="44" customHeight="1">
      <x:c r="A39" s="45" t="str">
        <x:v>PSK-034</x:v>
      </x:c>
      <x:c r="B39" s="45" t="str">
        <x:v>Псковская область</x:v>
      </x:c>
      <x:c r="C39" s="45" t="str">
        <x:v>Псков</x:v>
      </x:c>
      <x:c r="D39" s="45" t="str">
        <x:v>АвтоВольт</x:v>
      </x:c>
      <x:c r="E39" s="45" t="str">
        <x:v>Советская ул., 51, Псков</x:v>
      </x:c>
      <x:c r="F39" s="45" t="str">
        <x:v>+7 (909) 573-77-00</x:v>
      </x:c>
      <x:c r="G39" s="46" t="n">
        <x:v>4.8</x:v>
      </x:c>
      <x:c r="H39" s="47" t="n">
        <x:v>14</x:v>
      </x:c>
      <x:c r="I39" s="45" t="str">
        <x:v>Открыто до 18:00</x:v>
      </x:c>
      <x:c r="J39" s="45" t="str">
        <x:v>ремонт салона, ремонт распредвала, ремонт дисков, ремонт деталей АКПП, ремонт системы охлаждения</x:v>
      </x:c>
      <x:c r="K39" s="45" t="str">
        <x:v>https://yandex.ru/maps/org/avtovolt/30790756970/</x:v>
      </x:c>
      <x:c r="L39" s="47" t="str">
        <x:v>30790756970</x:v>
      </x:c>
      <x:c r="M39" s="45" t="str">
        <x:v>https://t.me/LEEEEEROYY</x:v>
      </x:c>
      <x:c r="N39" s="45" t="str"/>
      <x:c r="O39" s="45" t="str">
        <x:v>только публичный профиль</x:v>
      </x:c>
      <x:c r="P39" s="45" t="str">
        <x:v>мессенджер</x:v>
      </x:c>
      <x:c r="Q39" s="45" t="str">
        <x:v>Карточка Яндекс</x:v>
      </x:c>
      <x:c r="R39" s="45" t="str">
        <x:v>совпадает с карточкой Яндекс</x:v>
      </x:c>
      <x:c r="S39" s="45" t="str">
        <x:v>B</x:v>
      </x:c>
      <x:c r="T39" s="45" t="str">
        <x:v>B</x:v>
      </x:c>
      <x:c r="U39" s="45" t="str">
        <x:v>В карточке Яндекс Карт основным цифровым каналом указан VK или мессенджер; отдельный сайт не указан.</x:v>
      </x:c>
      <x:c r="V39" s="45" t="str">
        <x:v>Демо-лендинг: ремонт салона, ремонт распредвала, ремонт дисков, ремонт деталей АКПП, ремонт системы охлаждения + Яндекс Карты, отзывы и мессенджеры.</x:v>
      </x:c>
      <x:c r="W39" s="47" t="n">
        <x:v>8</x:v>
      </x:c>
      <x:c r="X39" s="45" t="str">
        <x:v>Да</x:v>
      </x:c>
      <x:c r="Y39" s="45" t="str"/>
      <x:c r="Z39" s="45" t="str"/>
      <x:c r="AA39" s="45" t="str">
        <x:v>https://t.me/LEEEEEROYY</x:v>
      </x:c>
      <x:c r="AB39" s="48" t="str">
        <x:v>2026-08-21</x:v>
      </x:c>
      <x:c r="AC39" s="45" t="str">
        <x:v>Источник: публичная карточка Яндекс Карт; число отзывов взято из вкладки «Отзывы».</x:v>
      </x:c>
      <x:c r="AD39" s="58" t="str">
        <x:v>https://qasite.ru/templates/auto-service/?client=pskov-034-avtovolt</x:v>
      </x:c>
    </x:row>
    <x:row r="40" ht="44" customHeight="1">
      <x:c r="A40" s="45" t="str">
        <x:v>PSK-035</x:v>
      </x:c>
      <x:c r="B40" s="45" t="str">
        <x:v>Псковская область</x:v>
      </x:c>
      <x:c r="C40" s="45" t="str">
        <x:v>Псковский район</x:v>
      </x:c>
      <x:c r="D40" s="45" t="str">
        <x:v>Автосервис Борисовичи</x:v>
      </x:c>
      <x:c r="E40" s="45" t="str">
        <x:v>д. Борисовичи, 1/1</x:v>
      </x:c>
      <x:c r="F40" s="45" t="str">
        <x:v>+7 (911) 883-37-63</x:v>
      </x:c>
      <x:c r="G40" s="46" t="n">
        <x:v>4.4</x:v>
      </x:c>
      <x:c r="H40" s="47" t="n">
        <x:v>13</x:v>
      </x:c>
      <x:c r="I40" s="45" t="str">
        <x:v>Открыто до 18:00</x:v>
      </x:c>
      <x:c r="J40" s="45" t="str">
        <x:v>Автосервис, автотехцентр</x:v>
      </x:c>
      <x:c r="K40" s="45" t="str">
        <x:v>https://yandex.ru/maps/org/avtoservis_borisovichi/241620209301/</x:v>
      </x:c>
      <x:c r="L40" s="47" t="str">
        <x:v>241620209301</x:v>
      </x:c>
      <x:c r="M40" s="45" t="str">
        <x:v>http://vk.ru/club15184866</x:v>
      </x:c>
      <x:c r="N40" s="45" t="str"/>
      <x:c r="O40" s="45" t="str">
        <x:v>только публичный профиль</x:v>
      </x:c>
      <x:c r="P40" s="45" t="str">
        <x:v>VK</x:v>
      </x:c>
      <x:c r="Q40" s="45" t="str">
        <x:v>Карточка Яндекс</x:v>
      </x:c>
      <x:c r="R40" s="45" t="str">
        <x:v>совпадает с карточкой Яндекс</x:v>
      </x:c>
      <x:c r="S40" s="45" t="str">
        <x:v>B</x:v>
      </x:c>
      <x:c r="T40" s="45" t="str">
        <x:v>B</x:v>
      </x:c>
      <x:c r="U40" s="45" t="str">
        <x:v>В карточке Яндекс Карт основным цифровым каналом указан VK или мессенджер; отдельный сайт не указан.</x:v>
      </x:c>
      <x:c r="V40" s="45" t="str">
        <x:v>Демо-лендинг: Автосервис, автотехцентр + Яндекс Карты, отзывы и мессенджеры.</x:v>
      </x:c>
      <x:c r="W40" s="47" t="n">
        <x:v>7</x:v>
      </x:c>
      <x:c r="X40" s="45" t="str">
        <x:v>Да</x:v>
      </x:c>
      <x:c r="Y40" s="45" t="str">
        <x:v>http://vk.ru/club15184866</x:v>
      </x:c>
      <x:c r="Z40" s="45" t="str"/>
      <x:c r="AA40" s="45" t="str"/>
      <x:c r="AB40" s="48" t="str">
        <x:v>2026-08-21</x:v>
      </x:c>
      <x:c r="AC40" s="45" t="str">
        <x:v>Источник: публичная карточка Яндекс Карт; число отзывов взято из вкладки «Отзывы».</x:v>
      </x:c>
      <x:c r="AD40" s="58" t="str">
        <x:v>https://qasite.ru/templates/auto-service/?client=pskov-035-avtoservis-borisovichi</x:v>
      </x:c>
    </x:row>
    <x:row r="41" ht="44" customHeight="1">
      <x:c r="A41" s="45" t="str">
        <x:v>PSK-036</x:v>
      </x:c>
      <x:c r="B41" s="45" t="str">
        <x:v>Псковская область</x:v>
      </x:c>
      <x:c r="C41" s="45" t="str">
        <x:v>Псков</x:v>
      </x:c>
      <x:c r="D41" s="45" t="str">
        <x:v>Автомастерская Quattro60</x:v>
      </x:c>
      <x:c r="E41" s="45" t="str">
        <x:v>ул. Белинского, 78, Псков</x:v>
      </x:c>
      <x:c r="F41" s="45" t="str">
        <x:v>+7 (911) 369-36-67</x:v>
      </x:c>
      <x:c r="G41" s="46" t="n">
        <x:v>4.3</x:v>
      </x:c>
      <x:c r="H41" s="47" t="n">
        <x:v>10</x:v>
      </x:c>
      <x:c r="I41" s="45" t="str">
        <x:v>Открыто до 20:00</x:v>
      </x:c>
      <x:c r="J41" s="45" t="str">
        <x:v>ремонт двигателя, замена масла, ремонт ходовой части, ремонт стартеров, компьютерная диагностика автомобиля</x:v>
      </x:c>
      <x:c r="K41" s="45" t="str">
        <x:v>https://yandex.ru/maps/org/avtomasterskaya_quattro60/95659556334/</x:v>
      </x:c>
      <x:c r="L41" s="47" t="str">
        <x:v>95659556334</x:v>
      </x:c>
      <x:c r="M41" s="45" t="str">
        <x:v>https://vk.ru/quattro60</x:v>
      </x:c>
      <x:c r="N41" s="45" t="str"/>
      <x:c r="O41" s="45" t="str">
        <x:v>только публичный профиль</x:v>
      </x:c>
      <x:c r="P41" s="45" t="str">
        <x:v>VK</x:v>
      </x:c>
      <x:c r="Q41" s="45" t="str">
        <x:v>Карточка Яндекс</x:v>
      </x:c>
      <x:c r="R41" s="45" t="str">
        <x:v>совпадает с карточкой Яндекс</x:v>
      </x:c>
      <x:c r="S41" s="45" t="str">
        <x:v>B</x:v>
      </x:c>
      <x:c r="T41" s="45" t="str">
        <x:v>B</x:v>
      </x:c>
      <x:c r="U41" s="45" t="str">
        <x:v>В карточке Яндекс Карт основным цифровым каналом указан VK или мессенджер; отдельный сайт не указан.</x:v>
      </x:c>
      <x:c r="V41" s="45" t="str">
        <x:v>Демо-лендинг: ремонт двигателя, замена масла, ремонт ходовой части, ремонт стартеров, компьютерная диагностика автомобиля + Яндекс Карты, отзывы и мессенджеры.</x:v>
      </x:c>
      <x:c r="W41" s="47" t="n">
        <x:v>7</x:v>
      </x:c>
      <x:c r="X41" s="45" t="str">
        <x:v>Да</x:v>
      </x:c>
      <x:c r="Y41" s="45" t="str">
        <x:v>https://vk.ru/quattro60</x:v>
      </x:c>
      <x:c r="Z41" s="45" t="str"/>
      <x:c r="AA41" s="45" t="str"/>
      <x:c r="AB41" s="48" t="str">
        <x:v>2026-08-21</x:v>
      </x:c>
      <x:c r="AC41" s="45" t="str">
        <x:v>Источник: публичная карточка Яндекс Карт; число отзывов взято из вкладки «Отзывы».</x:v>
      </x:c>
      <x:c r="AD41" s="58" t="str">
        <x:v>https://qasite.ru/templates/auto-service/?client=pskov-036-avtomasterskaya-quattro60</x:v>
      </x:c>
    </x:row>
    <x:row r="42" ht="44" customHeight="1">
      <x:c r="A42" s="45" t="str">
        <x:v>PSK-037</x:v>
      </x:c>
      <x:c r="B42" s="45" t="str">
        <x:v>Псковская область</x:v>
      </x:c>
      <x:c r="C42" s="45" t="str">
        <x:v>Псков</x:v>
      </x:c>
      <x:c r="D42" s="45" t="str">
        <x:v>Автосервис ЕвроСервис</x:v>
      </x:c>
      <x:c r="E42" s="45" t="str">
        <x:v>ул. Леона Поземского, 111, Псков</x:v>
      </x:c>
      <x:c r="F42" s="45" t="str">
        <x:v>+7 (906) 220-37-44</x:v>
      </x:c>
      <x:c r="G42" s="46" t="n">
        <x:v>4.5</x:v>
      </x:c>
      <x:c r="H42" s="47" t="n">
        <x:v>8</x:v>
      </x:c>
      <x:c r="I42" s="45" t="str">
        <x:v>Открыто до 19:00</x:v>
      </x:c>
      <x:c r="J42" s="45" t="str">
        <x:v>Автосервис, автотехцентр, Автосервисное и гаражное оборудование</x:v>
      </x:c>
      <x:c r="K42" s="45" t="str">
        <x:v>https://yandex.ru/maps/org/avtoservis_yevroservis/35211046186/</x:v>
      </x:c>
      <x:c r="L42" s="47" t="str">
        <x:v>35211046186</x:v>
      </x:c>
      <x:c r="M42" s="45" t="str">
        <x:v>https://vk.ru/euroservice60</x:v>
      </x:c>
      <x:c r="N42" s="45" t="str"/>
      <x:c r="O42" s="45" t="str">
        <x:v>только публичный профиль</x:v>
      </x:c>
      <x:c r="P42" s="45" t="str">
        <x:v>VK</x:v>
      </x:c>
      <x:c r="Q42" s="45" t="str">
        <x:v>Карточка Яндекс</x:v>
      </x:c>
      <x:c r="R42" s="45" t="str">
        <x:v>совпадает с карточкой Яндекс</x:v>
      </x:c>
      <x:c r="S42" s="45" t="str">
        <x:v>B</x:v>
      </x:c>
      <x:c r="T42" s="45" t="str">
        <x:v>B</x:v>
      </x:c>
      <x:c r="U42" s="45" t="str">
        <x:v>В карточке Яндекс Карт основным цифровым каналом указан VK или мессенджер; отдельный сайт не указан.</x:v>
      </x:c>
      <x:c r="V42" s="45" t="str">
        <x:v>Демо-лендинг: Автосервис, автотехцентр, Автосервисное и гаражное оборудование + Яндекс Карты, отзывы и мессенджеры.</x:v>
      </x:c>
      <x:c r="W42" s="47" t="n">
        <x:v>7</x:v>
      </x:c>
      <x:c r="X42" s="45" t="str">
        <x:v>Да</x:v>
      </x:c>
      <x:c r="Y42" s="45" t="str">
        <x:v>https://vk.ru/euroservice60</x:v>
      </x:c>
      <x:c r="Z42" s="45" t="str"/>
      <x:c r="AA42" s="45" t="str"/>
      <x:c r="AB42" s="48" t="str">
        <x:v>2026-08-21</x:v>
      </x:c>
      <x:c r="AC42" s="45" t="str">
        <x:v>Источник: публичная карточка Яндекс Карт; число отзывов взято из вкладки «Отзывы».</x:v>
      </x:c>
      <x:c r="AD42" s="58" t="str">
        <x:v>https://qasite.ru/templates/auto-service/?client=pskov-037-avtoservis-evroservis</x:v>
      </x:c>
    </x:row>
    <x:row r="43" ht="44" customHeight="1">
      <x:c r="A43" s="41" t="str">
        <x:v>PSK-038</x:v>
      </x:c>
      <x:c r="B43" s="41" t="str">
        <x:v>Псковская область</x:v>
      </x:c>
      <x:c r="C43" s="41" t="str">
        <x:v>Псков</x:v>
      </x:c>
      <x:c r="D43" s="41" t="str">
        <x:v>Motor Head</x:v>
      </x:c>
      <x:c r="E43" s="41" t="str">
        <x:v>Советская ул., 51, Псков</x:v>
      </x:c>
      <x:c r="F43" s="41" t="str">
        <x:v>+7 (900) 991-10-16</x:v>
      </x:c>
      <x:c r="G43" s="42" t="n">
        <x:v>4.4</x:v>
      </x:c>
      <x:c r="H43" s="43" t="n">
        <x:v>8</x:v>
      </x:c>
      <x:c r="I43" s="41" t="str">
        <x:v>Открыто до 19:00</x:v>
      </x:c>
      <x:c r="J43" s="41" t="str">
        <x:v>ремонт гидроусилителя руля, раскоксовка, эндоскопия двигателя, ремонт сцепления, ремонт тормозной системы</x:v>
      </x:c>
      <x:c r="K43" s="41" t="str">
        <x:v>https://yandex.ru/maps/org/motor_head/121314743193/</x:v>
      </x:c>
      <x:c r="L43" s="43" t="str">
        <x:v>121314743193</x:v>
      </x:c>
      <x:c r="M43" s="41" t="str"/>
      <x:c r="N43" s="41" t="str"/>
      <x:c r="O43" s="41" t="str">
        <x:v>внешняя ссылка не указана</x:v>
      </x:c>
      <x:c r="P43" s="41" t="str">
        <x:v>не указан</x:v>
      </x:c>
      <x:c r="Q43" s="41" t="str">
        <x:v>Нет — нужен точный поиск</x:v>
      </x:c>
      <x:c r="R43" s="41" t="str">
        <x:v>совпадает с карточкой Яндекс</x:v>
      </x:c>
      <x:c r="S43" s="41" t="str">
        <x:v>needs_review</x:v>
      </x:c>
      <x:c r="T43" s="41" t="str">
        <x:v>needs_review</x:v>
      </x:c>
      <x:c r="U43" s="41" t="str">
        <x:v>В карточке Яндекс Карт нет внешней ссылки; перед предложением нужен точный поиск сайта.</x:v>
      </x:c>
      <x:c r="V43" s="41" t="str">
        <x:v>Экспресс-аудит публичной ссылки и демо по услугам: ремонт гидроусилителя руля, раскоксовка, эндоскопия двигателя, ремонт сцепления, ремонт тормозной системы.</x:v>
      </x:c>
      <x:c r="W43" s="43" t="n">
        <x:v>5</x:v>
      </x:c>
      <x:c r="X43" s="41" t="str">
        <x:v>После поиска</x:v>
      </x:c>
      <x:c r="Y43" s="41" t="str"/>
      <x:c r="Z43" s="41" t="str"/>
      <x:c r="AA43" s="41" t="str"/>
      <x:c r="AB43" s="44" t="str">
        <x:v>2026-08-21</x:v>
      </x:c>
      <x:c r="AC43" s="41" t="str">
        <x:v>Источник: публичная карточка Яндекс Карт; число отзывов взято из вкладки «Отзывы».</x:v>
      </x:c>
      <x:c r="AD43" s="58" t="str">
        <x:v>https://qasite.ru/templates/auto-service/?client=pskov-038-motor-head</x:v>
      </x:c>
    </x:row>
    <x:row r="44" ht="44" customHeight="1">
      <x:c r="A44" s="45" t="str">
        <x:v>PSK-039</x:v>
      </x:c>
      <x:c r="B44" s="45" t="str">
        <x:v>Псковская область</x:v>
      </x:c>
      <x:c r="C44" s="45" t="str">
        <x:v>Псков</x:v>
      </x:c>
      <x:c r="D44" s="45" t="str">
        <x:v>Car House 60</x:v>
      </x:c>
      <x:c r="E44" s="45" t="str">
        <x:v>Гаражный пр., 18, стр. 13, Псков бокс 21, 22</x:v>
      </x:c>
      <x:c r="F44" s="45" t="str">
        <x:v>+7 (953) 245-10-45</x:v>
      </x:c>
      <x:c r="G44" s="46" t="n">
        <x:v>4.4</x:v>
      </x:c>
      <x:c r="H44" s="47" t="n">
        <x:v>6</x:v>
      </x:c>
      <x:c r="I44" s="45" t="str">
        <x:v>график не раскрыт в карточке</x:v>
      </x:c>
      <x:c r="J44" s="45" t="str">
        <x:v>ремонт салона, ремонт деталей АКПП, ремонт системы охлаждения, ремонт гидроусилителя руля, ремонт АКПП</x:v>
      </x:c>
      <x:c r="K44" s="45" t="str">
        <x:v>https://yandex.ru/maps/org/car_house_60/32683612474/</x:v>
      </x:c>
      <x:c r="L44" s="47" t="str">
        <x:v>32683612474</x:v>
      </x:c>
      <x:c r="M44" s="45" t="str">
        <x:v>https://vk.ru/carhouse60</x:v>
      </x:c>
      <x:c r="N44" s="45" t="str"/>
      <x:c r="O44" s="45" t="str">
        <x:v>только публичный профиль</x:v>
      </x:c>
      <x:c r="P44" s="45" t="str">
        <x:v>VK</x:v>
      </x:c>
      <x:c r="Q44" s="45" t="str">
        <x:v>Карточка Яндекс</x:v>
      </x:c>
      <x:c r="R44" s="45" t="str">
        <x:v>совпадает с карточкой Яндекс</x:v>
      </x:c>
      <x:c r="S44" s="45" t="str">
        <x:v>B</x:v>
      </x:c>
      <x:c r="T44" s="45" t="str">
        <x:v>B</x:v>
      </x:c>
      <x:c r="U44" s="45" t="str">
        <x:v>В карточке Яндекс Карт основным цифровым каналом указан VK или мессенджер; отдельный сайт не указан.</x:v>
      </x:c>
      <x:c r="V44" s="45" t="str">
        <x:v>Демо-лендинг: ремонт салона, ремонт деталей АКПП, ремонт системы охлаждения, ремонт гидроусилителя руля, ремонт АКПП + Яндекс Карты, отзывы и мессенджеры.</x:v>
      </x:c>
      <x:c r="W44" s="47" t="n">
        <x:v>7</x:v>
      </x:c>
      <x:c r="X44" s="45" t="str">
        <x:v>Да</x:v>
      </x:c>
      <x:c r="Y44" s="45" t="str">
        <x:v>https://vk.ru/carhouse60</x:v>
      </x:c>
      <x:c r="Z44" s="45" t="str"/>
      <x:c r="AA44" s="45" t="str"/>
      <x:c r="AB44" s="48" t="str">
        <x:v>2026-08-21</x:v>
      </x:c>
      <x:c r="AC44" s="45" t="str">
        <x:v>Источник: публичная карточка Яндекс Карт; число отзывов взято из вкладки «Отзывы».</x:v>
      </x:c>
      <x:c r="AD44" s="58" t="str">
        <x:v>https://qasite.ru/templates/auto-service/?client=pskov-039-car-house-60</x:v>
      </x:c>
    </x:row>
    <x:row r="45" ht="44" customHeight="1">
      <x:c r="A45" s="45" t="str">
        <x:v>PSK-040</x:v>
      </x:c>
      <x:c r="B45" s="45" t="str">
        <x:v>Псковская область</x:v>
      </x:c>
      <x:c r="C45" s="45" t="str">
        <x:v>Псков</x:v>
      </x:c>
      <x:c r="D45" s="45" t="str">
        <x:v>Vir Tex Auto</x:v>
      </x:c>
      <x:c r="E45" s="45" t="str">
        <x:v>Шоссейная ул., 3, Псков</x:v>
      </x:c>
      <x:c r="F45" s="45" t="str">
        <x:v>+7 (911) 392-09-62</x:v>
      </x:c>
      <x:c r="G45" s="46" t="n">
        <x:v>4.4</x:v>
      </x:c>
      <x:c r="H45" s="47" t="n">
        <x:v>5</x:v>
      </x:c>
      <x:c r="I45" s="45" t="str">
        <x:v>Открыто до 18:00</x:v>
      </x:c>
      <x:c r="J45" s="45" t="str">
        <x:v>Автосервис, автотехцентр, Магазин автозапчастей и автотоваров</x:v>
      </x:c>
      <x:c r="K45" s="45" t="str">
        <x:v>https://yandex.ru/maps/org/vir_tex_auto/175481717103/</x:v>
      </x:c>
      <x:c r="L45" s="47" t="str">
        <x:v>175481717103</x:v>
      </x:c>
      <x:c r="M45" s="45" t="str">
        <x:v>https://vk.link/publicvirtexauto</x:v>
      </x:c>
      <x:c r="N45" s="45" t="str">
        <x:v>https://vk.link/publicvirtexauto</x:v>
      </x:c>
      <x:c r="O45" s="45" t="str">
        <x:v>публичная ссылка указана</x:v>
      </x:c>
      <x:c r="P45" s="45" t="str">
        <x:v>VK Link</x:v>
      </x:c>
      <x:c r="Q45" s="45" t="str">
        <x:v>Карточка Яндекс</x:v>
      </x:c>
      <x:c r="R45" s="45" t="str">
        <x:v>совпадает с карточкой Яндекс</x:v>
      </x:c>
      <x:c r="S45" s="45" t="str">
        <x:v>B</x:v>
      </x:c>
      <x:c r="T45" s="45" t="str">
        <x:v>B</x:v>
      </x:c>
      <x:c r="U45" s="45" t="str">
        <x:v>В карточке указан конструктор или профиль; отдельный сервисный сайт с услугами и записью не подтверждён.</x:v>
      </x:c>
      <x:c r="V45" s="45" t="str">
        <x:v>Демо-лендинг: Автосервис, автотехцентр, Магазин автозапчастей и автотоваров + Яндекс Карты, отзывы и мессенджеры.</x:v>
      </x:c>
      <x:c r="W45" s="47" t="n">
        <x:v>7</x:v>
      </x:c>
      <x:c r="X45" s="45" t="str">
        <x:v>Да</x:v>
      </x:c>
      <x:c r="Y45" s="45" t="str">
        <x:v>https://vk.ru/publicvirtexauto</x:v>
      </x:c>
      <x:c r="Z45" s="45" t="str"/>
      <x:c r="AA45" s="45" t="str"/>
      <x:c r="AB45" s="48" t="str">
        <x:v>2026-08-21</x:v>
      </x:c>
      <x:c r="AC45" s="45" t="str">
        <x:v>Источник: публичная карточка Яндекс Карт; число отзывов взято из вкладки «Отзывы».</x:v>
      </x:c>
      <x:c r="AD45" s="58" t="str">
        <x:v>https://qasite.ru/templates/auto-service/?client=pskov-040-vir-tex-auto</x:v>
      </x:c>
    </x:row>
    <x:row r="46" ht="44" customHeight="1">
      <x:c r="A46" s="41" t="str">
        <x:v>PSK-041</x:v>
      </x:c>
      <x:c r="B46" s="41" t="str">
        <x:v>Псковская область</x:v>
      </x:c>
      <x:c r="C46" s="41" t="str">
        <x:v>Псков</x:v>
      </x:c>
      <x:c r="D46" s="41" t="str">
        <x:v>Ротор</x:v>
      </x:c>
      <x:c r="E46" s="41" t="str">
        <x:v>Чудская ул., 7, Псков</x:v>
      </x:c>
      <x:c r="F46" s="41" t="str">
        <x:v>+7 (921) 004-15-20</x:v>
      </x:c>
      <x:c r="G46" s="42" t="n">
        <x:v>4.3</x:v>
      </x:c>
      <x:c r="H46" s="43" t="n">
        <x:v>5</x:v>
      </x:c>
      <x:c r="I46" s="41" t="str">
        <x:v>Открыто до 19:00</x:v>
      </x:c>
      <x:c r="J46" s="41" t="str">
        <x:v>ремонт приборных панелей, ремонт деталей АКПП, ремонт шаровых опор, ремонт системы охлаждения, проточка тормозных дисков</x:v>
      </x:c>
      <x:c r="K46" s="41" t="str">
        <x:v>https://yandex.ru/maps/org/rotor/83451617343/</x:v>
      </x:c>
      <x:c r="L46" s="43" t="str">
        <x:v>83451617343</x:v>
      </x:c>
      <x:c r="M46" s="41" t="str"/>
      <x:c r="N46" s="41" t="str"/>
      <x:c r="O46" s="41" t="str">
        <x:v>внешняя ссылка не указана</x:v>
      </x:c>
      <x:c r="P46" s="41" t="str">
        <x:v>не указан</x:v>
      </x:c>
      <x:c r="Q46" s="41" t="str">
        <x:v>Нет — нужен точный поиск</x:v>
      </x:c>
      <x:c r="R46" s="41" t="str">
        <x:v>совпадает с карточкой Яндекс</x:v>
      </x:c>
      <x:c r="S46" s="41" t="str">
        <x:v>needs_review</x:v>
      </x:c>
      <x:c r="T46" s="41" t="str">
        <x:v>needs_review</x:v>
      </x:c>
      <x:c r="U46" s="41" t="str">
        <x:v>В карточке Яндекс Карт нет внешней ссылки; перед предложением нужен точный поиск сайта.</x:v>
      </x:c>
      <x:c r="V46" s="41" t="str">
        <x:v>Экспресс-аудит публичной ссылки и демо по услугам: ремонт приборных панелей, ремонт деталей АКПП, ремонт шаровых опор, ремонт системы охлаждения, проточка тормозных дисков.</x:v>
      </x:c>
      <x:c r="W46" s="43" t="n">
        <x:v>5</x:v>
      </x:c>
      <x:c r="X46" s="41" t="str">
        <x:v>После поиска</x:v>
      </x:c>
      <x:c r="Y46" s="41" t="str"/>
      <x:c r="Z46" s="41" t="str"/>
      <x:c r="AA46" s="41" t="str"/>
      <x:c r="AB46" s="44" t="str">
        <x:v>2026-08-21</x:v>
      </x:c>
      <x:c r="AC46" s="41" t="str">
        <x:v>Источник: публичная карточка Яндекс Карт; число отзывов взято из вкладки «Отзывы».</x:v>
      </x:c>
      <x:c r="AD46" s="58" t="str">
        <x:v>https://qasite.ru/templates/auto-service/?client=pskov-041-rotor</x:v>
      </x:c>
    </x:row>
    <x:row r="47" ht="44" customHeight="1">
      <x:c r="A47" s="45" t="str">
        <x:v>PSK-042</x:v>
      </x:c>
      <x:c r="B47" s="45" t="str">
        <x:v>Псковская область</x:v>
      </x:c>
      <x:c r="C47" s="45" t="str">
        <x:v>Псков</x:v>
      </x:c>
      <x:c r="D47" s="45" t="str">
        <x:v>Avto Service Дизелей</x:v>
      </x:c>
      <x:c r="E47" s="45" t="str">
        <x:v>ул. Евлентьева, 5А, Псков</x:v>
      </x:c>
      <x:c r="F47" s="45" t="str">
        <x:v>+7 (911) 881-26-62</x:v>
      </x:c>
      <x:c r="G47" s="46" t="n">
        <x:v>3.7</x:v>
      </x:c>
      <x:c r="H47" s="47" t="n">
        <x:v>5</x:v>
      </x:c>
      <x:c r="I47" s="45" t="str">
        <x:v>Открыто до 20:00</x:v>
      </x:c>
      <x:c r="J47" s="45" t="str">
        <x:v>замена масла, компьютерная диагностика автомобиля, ремонт автоэлектрики, промывка инжектора, ремонт форсунок </x:v>
      </x:c>
      <x:c r="K47" s="45" t="str">
        <x:v>https://yandex.ru/maps/org/avto_service_dizeley/244952578367/</x:v>
      </x:c>
      <x:c r="L47" s="47" t="str">
        <x:v>244952578367</x:v>
      </x:c>
      <x:c r="M47" s="45" t="str">
        <x:v>https://vk.ru/club151000144</x:v>
      </x:c>
      <x:c r="N47" s="45" t="str"/>
      <x:c r="O47" s="45" t="str">
        <x:v>только публичный профиль</x:v>
      </x:c>
      <x:c r="P47" s="45" t="str">
        <x:v>VK</x:v>
      </x:c>
      <x:c r="Q47" s="45" t="str">
        <x:v>Карточка Яндекс</x:v>
      </x:c>
      <x:c r="R47" s="45" t="str">
        <x:v>совпадает с карточкой Яндекс</x:v>
      </x:c>
      <x:c r="S47" s="45" t="str">
        <x:v>B</x:v>
      </x:c>
      <x:c r="T47" s="45" t="str">
        <x:v>B</x:v>
      </x:c>
      <x:c r="U47" s="45" t="str">
        <x:v>В карточке Яндекс Карт основным цифровым каналом указан VK или мессенджер; отдельный сайт не указан.</x:v>
      </x:c>
      <x:c r="V47" s="45" t="str">
        <x:v>Демо-лендинг: замена масла, компьютерная диагностика автомобиля, ремонт автоэлектрики, промывка инжектора, ремонт форсунок  + Яндекс Карты, отзывы и мессенджеры.</x:v>
      </x:c>
      <x:c r="W47" s="47" t="n">
        <x:v>7</x:v>
      </x:c>
      <x:c r="X47" s="45" t="str">
        <x:v>Да</x:v>
      </x:c>
      <x:c r="Y47" s="45" t="str">
        <x:v>https://vk.ru/club151000144</x:v>
      </x:c>
      <x:c r="Z47" s="45" t="str">
        <x:v>https://wa.me/79319032446</x:v>
      </x:c>
      <x:c r="AA47" s="45" t="str"/>
      <x:c r="AB47" s="48" t="str">
        <x:v>2026-08-21</x:v>
      </x:c>
      <x:c r="AC47" s="45" t="str">
        <x:v>Источник: публичная карточка Яндекс Карт; число отзывов взято из вкладки «Отзывы».</x:v>
      </x:c>
      <x:c r="AD47" s="58" t="str">
        <x:v>https://qasite.ru/templates/auto-service/?client=pskov-042-avto-service-dizeley</x:v>
      </x:c>
    </x:row>
    <x:row r="48" ht="44" customHeight="1">
      <x:c r="A48" s="41" t="str">
        <x:v>PSK-043</x:v>
      </x:c>
      <x:c r="B48" s="41" t="str">
        <x:v>Псковская область</x:v>
      </x:c>
      <x:c r="C48" s="41" t="str">
        <x:v>Псков</x:v>
      </x:c>
      <x:c r="D48" s="41" t="str">
        <x:v>Авторемонт</x:v>
      </x:c>
      <x:c r="E48" s="41" t="str">
        <x:v>ул. Заборовского, 19Б, Псков</x:v>
      </x:c>
      <x:c r="F48" s="41" t="str">
        <x:v>+7 (921) 503-86-24</x:v>
      </x:c>
      <x:c r="G48" s="42" t="n">
        <x:v>4.2</x:v>
      </x:c>
      <x:c r="H48" s="43" t="n">
        <x:v>4</x:v>
      </x:c>
      <x:c r="I48" s="41" t="str">
        <x:v>Открыто до 19:00</x:v>
      </x:c>
      <x:c r="J48" s="41" t="str">
        <x:v>ремонт выхлопной системы, ремонт тормозной системы, ремонт двигателя, замена масла, покраска автомобиля</x:v>
      </x:c>
      <x:c r="K48" s="41" t="str">
        <x:v>https://yandex.ru/maps/org/avtoremont/111279325924/</x:v>
      </x:c>
      <x:c r="L48" s="43" t="str">
        <x:v>111279325924</x:v>
      </x:c>
      <x:c r="M48" s="41" t="str"/>
      <x:c r="N48" s="41" t="str"/>
      <x:c r="O48" s="41" t="str">
        <x:v>внешняя ссылка не указана</x:v>
      </x:c>
      <x:c r="P48" s="41" t="str">
        <x:v>не указан</x:v>
      </x:c>
      <x:c r="Q48" s="41" t="str">
        <x:v>Нет — нужен точный поиск</x:v>
      </x:c>
      <x:c r="R48" s="41" t="str">
        <x:v>совпадает с карточкой Яндекс</x:v>
      </x:c>
      <x:c r="S48" s="41" t="str">
        <x:v>needs_review</x:v>
      </x:c>
      <x:c r="T48" s="41" t="str">
        <x:v>needs_review</x:v>
      </x:c>
      <x:c r="U48" s="41" t="str">
        <x:v>В карточке Яндекс Карт нет внешней ссылки; перед предложением нужен точный поиск сайта.</x:v>
      </x:c>
      <x:c r="V48" s="41" t="str">
        <x:v>Экспресс-аудит публичной ссылки и демо по услугам: ремонт выхлопной системы, ремонт тормозной системы, ремонт двигателя, замена масла, покраска автомобиля.</x:v>
      </x:c>
      <x:c r="W48" s="43" t="n">
        <x:v>5</x:v>
      </x:c>
      <x:c r="X48" s="41" t="str">
        <x:v>После поиска</x:v>
      </x:c>
      <x:c r="Y48" s="41" t="str"/>
      <x:c r="Z48" s="41" t="str"/>
      <x:c r="AA48" s="41" t="str"/>
      <x:c r="AB48" s="44" t="str">
        <x:v>2026-08-21</x:v>
      </x:c>
      <x:c r="AC48" s="41" t="str">
        <x:v>Источник: публичная карточка Яндекс Карт; число отзывов взято из вкладки «Отзывы».</x:v>
      </x:c>
      <x:c r="AD48" s="58" t="str">
        <x:v>https://qasite.ru/templates/auto-service/?client=pskov-043-avtoremont</x:v>
      </x:c>
    </x:row>
    <x:row r="49" ht="44" customHeight="1">
      <x:c r="A49" s="41" t="str">
        <x:v>PSK-044</x:v>
      </x:c>
      <x:c r="B49" s="41" t="str">
        <x:v>Псковская область</x:v>
      </x:c>
      <x:c r="C49" s="41" t="str">
        <x:v>Псков</x:v>
      </x:c>
      <x:c r="D49" s="41" t="str">
        <x:v>Эпицентр</x:v>
      </x:c>
      <x:c r="E49" s="41" t="str">
        <x:v>Текстильная ул., 3, Псков</x:v>
      </x:c>
      <x:c r="F49" s="41" t="str">
        <x:v>+7 (960) 229-96-22</x:v>
      </x:c>
      <x:c r="G49" s="42" t="str"/>
      <x:c r="H49" s="43" t="n">
        <x:v>4</x:v>
      </x:c>
      <x:c r="I49" s="41" t="str">
        <x:v>Открыто до 18:00</x:v>
      </x:c>
      <x:c r="J49" s="41" t="str">
        <x:v>шумоизоляция, ремонт автоэлектрики, компьютерная диагностика автомобиля, установка парктроника, установка дополнительного оборудования Способ оплаты:банковским переводом</x:v>
      </x:c>
      <x:c r="K49" s="41" t="str">
        <x:v>https://yandex.ru/maps/org/epitsentr/220508860572/</x:v>
      </x:c>
      <x:c r="L49" s="43" t="str">
        <x:v>220508860572</x:v>
      </x:c>
      <x:c r="M49" s="41" t="str"/>
      <x:c r="N49" s="41" t="str"/>
      <x:c r="O49" s="41" t="str">
        <x:v>внешняя ссылка не указана</x:v>
      </x:c>
      <x:c r="P49" s="41" t="str">
        <x:v>не указан</x:v>
      </x:c>
      <x:c r="Q49" s="41" t="str">
        <x:v>Нет — нужен точный поиск</x:v>
      </x:c>
      <x:c r="R49" s="41" t="str">
        <x:v>совпадает с карточкой Яндекс</x:v>
      </x:c>
      <x:c r="S49" s="41" t="str">
        <x:v>needs_review</x:v>
      </x:c>
      <x:c r="T49" s="41" t="str">
        <x:v>needs_review</x:v>
      </x:c>
      <x:c r="U49" s="41" t="str">
        <x:v>В карточке Яндекс Карт нет внешней ссылки; перед предложением нужен точный поиск сайта.</x:v>
      </x:c>
      <x:c r="V49" s="41" t="str">
        <x:v>Экспресс-аудит публичной ссылки и демо по услугам: шумоизоляция, ремонт автоэлектрики, компьютерная диагностика автомобиля, установка парктроника, установка дополнительного оборудования Способ оплаты:банковским переводом.</x:v>
      </x:c>
      <x:c r="W49" s="43" t="n">
        <x:v>5</x:v>
      </x:c>
      <x:c r="X49" s="41" t="str">
        <x:v>После поиска</x:v>
      </x:c>
      <x:c r="Y49" s="41" t="str"/>
      <x:c r="Z49" s="41" t="str"/>
      <x:c r="AA49" s="41" t="str"/>
      <x:c r="AB49" s="44" t="str">
        <x:v>2026-08-21</x:v>
      </x:c>
      <x:c r="AC49" s="41" t="str">
        <x:v>Источник: публичная карточка Яндекс Карт; число отзывов взято из вкладки «Отзывы».</x:v>
      </x:c>
      <x:c r="AD49" s="58" t="str">
        <x:v>https://qasite.ru/templates/auto-service/?client=pskov-044-epitsentr</x:v>
      </x:c>
    </x:row>
    <x:row r="50" ht="44" customHeight="1">
      <x:c r="A50" s="41" t="str">
        <x:v>PSK-045</x:v>
      </x:c>
      <x:c r="B50" s="41" t="str">
        <x:v>Псковская область</x:v>
      </x:c>
      <x:c r="C50" s="41" t="str">
        <x:v>Псков</x:v>
      </x:c>
      <x:c r="D50" s="41" t="str">
        <x:v>Akpp-dsg-service</x:v>
      </x:c>
      <x:c r="E50" s="41" t="str">
        <x:v>Дачная ул., 2Б, Псков</x:v>
      </x:c>
      <x:c r="F50" s="41" t="str">
        <x:v>+7 (969) 777-48-96</x:v>
      </x:c>
      <x:c r="G50" s="42" t="n">
        <x:v>4</x:v>
      </x:c>
      <x:c r="H50" s="43" t="n">
        <x:v>4</x:v>
      </x:c>
      <x:c r="I50" s="41" t="str">
        <x:v>Открыто до 20:00</x:v>
      </x:c>
      <x:c r="J50" s="41" t="str">
        <x:v>ремонт РКПП, ремонт деталей АКПП, ремонт DSG, ремонт сцепления, ремонт автоэлектроники</x:v>
      </x:c>
      <x:c r="K50" s="41" t="str">
        <x:v>https://yandex.ru/maps/org/akpp_dsg_service/223317978363/</x:v>
      </x:c>
      <x:c r="L50" s="43" t="str">
        <x:v>223317978363</x:v>
      </x:c>
      <x:c r="M50" s="41" t="str">
        <x:v>https://akppdsgservice.ru/pskov</x:v>
      </x:c>
      <x:c r="N50" s="41" t="str">
        <x:v>https://akppdsgservice.ru/pskov</x:v>
      </x:c>
      <x:c r="O50" s="41" t="str">
        <x:v>домен указан, нужен аудит</x:v>
      </x:c>
      <x:c r="P50" s="41" t="str">
        <x:v>сайт на своём домене</x:v>
      </x:c>
      <x:c r="Q50" s="41" t="str">
        <x:v>Нет</x:v>
      </x:c>
      <x:c r="R50" s="41" t="str">
        <x:v>совпадает с карточкой Яндекс</x:v>
      </x:c>
      <x:c r="S50" s="41" t="str">
        <x:v>needs_review</x:v>
      </x:c>
      <x:c r="T50" s="41" t="str">
        <x:v>needs_review</x:v>
      </x:c>
      <x:c r="U50" s="41" t="str">
        <x:v>Яндекс Карты указывают самостоятельный домен; нужен быстрый аудит страниц услуг, записи и мобильной версии.</x:v>
      </x:c>
      <x:c r="V50" s="41" t="str">
        <x:v>Экспресс-аудит публичной ссылки и демо по услугам: ремонт РКПП, ремонт деталей АКПП, ремонт DSG, ремонт сцепления, ремонт автоэлектроники.</x:v>
      </x:c>
      <x:c r="W50" s="43" t="n">
        <x:v>5</x:v>
      </x:c>
      <x:c r="X50" s="41" t="str">
        <x:v>После аудита</x:v>
      </x:c>
      <x:c r="Y50" s="41" t="str">
        <x:v>https://vk.ru/akppdsgservice</x:v>
      </x:c>
      <x:c r="Z50" s="41" t="str"/>
      <x:c r="AA50" s="41" t="str"/>
      <x:c r="AB50" s="44" t="str">
        <x:v>2026-08-21</x:v>
      </x:c>
      <x:c r="AC50" s="41" t="str">
        <x:v>Источник: публичная карточка Яндекс Карт; число отзывов взято из вкладки «Отзывы».</x:v>
      </x:c>
      <x:c r="AD50" s="58" t="str">
        <x:v>https://qasite.ru/templates/auto-service/?client=pskov-045-akpp-dsg-service</x:v>
      </x:c>
    </x:row>
    <x:row r="51" ht="44" customHeight="1">
      <x:c r="A51" s="41" t="str">
        <x:v>PSK-046</x:v>
      </x:c>
      <x:c r="B51" s="41" t="str">
        <x:v>Псковская область</x:v>
      </x:c>
      <x:c r="C51" s="41" t="str">
        <x:v>Псков</x:v>
      </x:c>
      <x:c r="D51" s="41" t="str">
        <x:v>Гаечка. Рус</x:v>
      </x:c>
      <x:c r="E51" s="41" t="str">
        <x:v>ул. Леона Поземского, 76А, Псков</x:v>
      </x:c>
      <x:c r="F51" s="41" t="str">
        <x:v>+7 (953) 230-00-07</x:v>
      </x:c>
      <x:c r="G51" s="42" t="n">
        <x:v>4.2</x:v>
      </x:c>
      <x:c r="H51" s="43" t="n">
        <x:v>3</x:v>
      </x:c>
      <x:c r="I51" s="41" t="str">
        <x:v>Открыто до 19:00</x:v>
      </x:c>
      <x:c r="J51" s="41" t="str">
        <x:v>ремонт автодеталей, ремонт деталей АКПП, ремонт системы охлаждения, ремонт гидроусилителя руля, проточка тормозных дисков</x:v>
      </x:c>
      <x:c r="K51" s="41" t="str">
        <x:v>https://yandex.ru/maps/org/gayechka_rus/39998044026/</x:v>
      </x:c>
      <x:c r="L51" s="43" t="str">
        <x:v>39998044026</x:v>
      </x:c>
      <x:c r="M51" s="41" t="str">
        <x:v>https://xn--80aahjz1f.xn--p1acf</x:v>
      </x:c>
      <x:c r="N51" s="41" t="str">
        <x:v>https://xn--80aahjz1f.xn--p1acf</x:v>
      </x:c>
      <x:c r="O51" s="41" t="str">
        <x:v>домен указан, нужен аудит</x:v>
      </x:c>
      <x:c r="P51" s="41" t="str">
        <x:v>сайт на своём домене</x:v>
      </x:c>
      <x:c r="Q51" s="41" t="str">
        <x:v>Нет</x:v>
      </x:c>
      <x:c r="R51" s="41" t="str">
        <x:v>совпадает с карточкой Яндекс</x:v>
      </x:c>
      <x:c r="S51" s="41" t="str">
        <x:v>needs_review</x:v>
      </x:c>
      <x:c r="T51" s="41" t="str">
        <x:v>needs_review</x:v>
      </x:c>
      <x:c r="U51" s="41" t="str">
        <x:v>Яндекс Карты указывают самостоятельный домен; нужен быстрый аудит страниц услуг, записи и мобильной версии.</x:v>
      </x:c>
      <x:c r="V51" s="41" t="str">
        <x:v>Экспресс-аудит публичной ссылки и демо по услугам: ремонт автодеталей, ремонт деталей АКПП, ремонт системы охлаждения, ремонт гидроусилителя руля, проточка тормозных дисков.</x:v>
      </x:c>
      <x:c r="W51" s="43" t="n">
        <x:v>5</x:v>
      </x:c>
      <x:c r="X51" s="41" t="str">
        <x:v>После аудита</x:v>
      </x:c>
      <x:c r="Y51" s="41" t="str">
        <x:v>https://vk.ru/gaechka_rus</x:v>
      </x:c>
      <x:c r="Z51" s="41" t="str"/>
      <x:c r="AA51" s="41" t="str">
        <x:v>https://t.me/+79532300007</x:v>
      </x:c>
      <x:c r="AB51" s="44" t="str">
        <x:v>2026-08-21</x:v>
      </x:c>
      <x:c r="AC51" s="41" t="str">
        <x:v>Источник: публичная карточка Яндекс Карт; число отзывов взято из вкладки «Отзывы».</x:v>
      </x:c>
      <x:c r="AD51" s="58" t="str">
        <x:v>https://qasite.ru/templates/auto-service/?client=pskov-046-gaechka-rus</x:v>
      </x:c>
    </x:row>
    <x:row r="52" ht="44" customHeight="1">
      <x:c r="A52" s="41" t="str">
        <x:v>PSK-047</x:v>
      </x:c>
      <x:c r="B52" s="41" t="str">
        <x:v>Псковская область</x:v>
      </x:c>
      <x:c r="C52" s="41" t="str">
        <x:v>Псков</x:v>
      </x:c>
      <x:c r="D52" s="41" t="str">
        <x:v>Квазар</x:v>
      </x:c>
      <x:c r="E52" s="41" t="str">
        <x:v>ул. Леона Поземского, 111, корп. 1, Псков</x:v>
      </x:c>
      <x:c r="F52" s="41" t="str">
        <x:v>+7 (953) 233-33-73</x:v>
      </x:c>
      <x:c r="G52" s="42" t="n">
        <x:v>3.5</x:v>
      </x:c>
      <x:c r="H52" s="43" t="n">
        <x:v>3</x:v>
      </x:c>
      <x:c r="I52" s="41" t="str">
        <x:v>Открыто до 20:00</x:v>
      </x:c>
      <x:c r="J52" s="41" t="str">
        <x:v>покраска автомобиля, полировка </x:v>
      </x:c>
      <x:c r="K52" s="41" t="str">
        <x:v>https://yandex.ru/maps/org/kvazar/245549836720/</x:v>
      </x:c>
      <x:c r="L52" s="43" t="str">
        <x:v>245549836720</x:v>
      </x:c>
      <x:c r="M52" s="41" t="str">
        <x:v>http://avtoemali60.ru</x:v>
      </x:c>
      <x:c r="N52" s="41" t="str">
        <x:v>http://avtoemali60.ru</x:v>
      </x:c>
      <x:c r="O52" s="41" t="str">
        <x:v>домен указан, нужен аудит</x:v>
      </x:c>
      <x:c r="P52" s="41" t="str">
        <x:v>сайт на своём домене</x:v>
      </x:c>
      <x:c r="Q52" s="41" t="str">
        <x:v>Нет</x:v>
      </x:c>
      <x:c r="R52" s="41" t="str">
        <x:v>совпадает с карточкой Яндекс</x:v>
      </x:c>
      <x:c r="S52" s="41" t="str">
        <x:v>needs_review</x:v>
      </x:c>
      <x:c r="T52" s="41" t="str">
        <x:v>needs_review</x:v>
      </x:c>
      <x:c r="U52" s="41" t="str">
        <x:v>Яндекс Карты указывают самостоятельный домен; нужен быстрый аудит страниц услуг, записи и мобильной версии.</x:v>
      </x:c>
      <x:c r="V52" s="41" t="str">
        <x:v>Экспресс-аудит публичной ссылки и демо по услугам: покраска автомобиля, полировка .</x:v>
      </x:c>
      <x:c r="W52" s="43" t="n">
        <x:v>5</x:v>
      </x:c>
      <x:c r="X52" s="41" t="str">
        <x:v>После аудита</x:v>
      </x:c>
      <x:c r="Y52" s="41" t="str">
        <x:v>https://vk.ru/club116266300</x:v>
      </x:c>
      <x:c r="Z52" s="41" t="str"/>
      <x:c r="AA52" s="41" t="str"/>
      <x:c r="AB52" s="44" t="str">
        <x:v>2026-08-21</x:v>
      </x:c>
      <x:c r="AC52" s="41" t="str">
        <x:v>Источник: публичная карточка Яндекс Карт; число отзывов взято из вкладки «Отзывы».</x:v>
      </x:c>
      <x:c r="AD52" s="58" t="str">
        <x:v>https://qasite.ru/templates/auto-service/?client=pskov-047-kvazar</x:v>
      </x:c>
    </x:row>
    <x:row r="53" ht="44" customHeight="1">
      <x:c r="A53" s="41" t="str">
        <x:v>PSK-048</x:v>
      </x:c>
      <x:c r="B53" s="41" t="str">
        <x:v>Псковская область</x:v>
      </x:c>
      <x:c r="C53" s="41" t="str">
        <x:v>Псков</x:v>
      </x:c>
      <x:c r="D53" s="41" t="str">
        <x:v>Автосервис для иномарок</x:v>
      </x:c>
      <x:c r="E53" s="41" t="str">
        <x:v>ул. Леона Поземского, 111, корп. 7, Псков</x:v>
      </x:c>
      <x:c r="F53" s="41" t="str">
        <x:v>+7 (909) 576-60-65</x:v>
      </x:c>
      <x:c r="G53" s="42" t="str"/>
      <x:c r="H53" s="43" t="n">
        <x:v>2</x:v>
      </x:c>
      <x:c r="I53" s="41" t="str">
        <x:v>Открыто до 20:00</x:v>
      </x:c>
      <x:c r="J53" s="41" t="str">
        <x:v>ремонт дисков, ремонт деталей АКПП, ремонт автодеталей, ремонт системы охлаждения, ремонт гидроусилителя руля</x:v>
      </x:c>
      <x:c r="K53" s="41" t="str">
        <x:v>https://yandex.ru/maps/org/avtoservis_dlya_inomarok/144832921104/</x:v>
      </x:c>
      <x:c r="L53" s="43" t="str">
        <x:v>144832921104</x:v>
      </x:c>
      <x:c r="M53" s="41" t="str"/>
      <x:c r="N53" s="41" t="str"/>
      <x:c r="O53" s="41" t="str">
        <x:v>внешняя ссылка не указана</x:v>
      </x:c>
      <x:c r="P53" s="41" t="str">
        <x:v>не указан</x:v>
      </x:c>
      <x:c r="Q53" s="41" t="str">
        <x:v>Нет — нужен точный поиск</x:v>
      </x:c>
      <x:c r="R53" s="41" t="str">
        <x:v>совпадает с карточкой Яндекс</x:v>
      </x:c>
      <x:c r="S53" s="41" t="str">
        <x:v>needs_review</x:v>
      </x:c>
      <x:c r="T53" s="41" t="str">
        <x:v>needs_review</x:v>
      </x:c>
      <x:c r="U53" s="41" t="str">
        <x:v>В карточке Яндекс Карт нет внешней ссылки; перед предложением нужен точный поиск сайта.</x:v>
      </x:c>
      <x:c r="V53" s="41" t="str">
        <x:v>Экспресс-аудит публичной ссылки и демо по услугам: ремонт дисков, ремонт деталей АКПП, ремонт автодеталей, ремонт системы охлаждения, ремонт гидроусилителя руля.</x:v>
      </x:c>
      <x:c r="W53" s="43" t="n">
        <x:v>5</x:v>
      </x:c>
      <x:c r="X53" s="41" t="str">
        <x:v>После поиска</x:v>
      </x:c>
      <x:c r="Y53" s="41" t="str"/>
      <x:c r="Z53" s="41" t="str"/>
      <x:c r="AA53" s="41" t="str"/>
      <x:c r="AB53" s="44" t="str">
        <x:v>2026-08-21</x:v>
      </x:c>
      <x:c r="AC53" s="41" t="str">
        <x:v>Источник: публичная карточка Яндекс Карт; число отзывов взято из вкладки «Отзывы».</x:v>
      </x:c>
      <x:c r="AD53" s="58" t="str">
        <x:v>https://qasite.ru/templates/auto-service/?client=pskov-048-avtoservis-dlya-inomarok</x:v>
      </x:c>
    </x:row>
    <x:row r="54" ht="44" customHeight="1">
      <x:c r="A54" s="41" t="str">
        <x:v>PSK-049</x:v>
      </x:c>
      <x:c r="B54" s="41" t="str">
        <x:v>Псковская область</x:v>
      </x:c>
      <x:c r="C54" s="41" t="str">
        <x:v>Псков</x:v>
      </x:c>
      <x:c r="D54" s="41" t="str">
        <x:v>Авторемонт</x:v>
      </x:c>
      <x:c r="E54" s="41" t="str">
        <x:v>Рижский просп., 88А, стр. 1, Псков</x:v>
      </x:c>
      <x:c r="F54" s="41" t="str">
        <x:v>+7 (911) 368-51-75</x:v>
      </x:c>
      <x:c r="G54" s="42" t="str"/>
      <x:c r="H54" s="43" t="n">
        <x:v>2</x:v>
      </x:c>
      <x:c r="I54" s="41" t="str">
        <x:v>Открыто до 19:00</x:v>
      </x:c>
      <x:c r="J54" s="41" t="str">
        <x:v>ремонт системы охлаждения, эндоскопия двигателя, ремонт турбокомпрессора, установка дополнительного оборудования, ремонт сцепления</x:v>
      </x:c>
      <x:c r="K54" s="41" t="str">
        <x:v>https://yandex.ru/maps/org/avtoremont/240048950066/</x:v>
      </x:c>
      <x:c r="L54" s="43" t="str">
        <x:v>240048950066</x:v>
      </x:c>
      <x:c r="M54" s="41" t="str"/>
      <x:c r="N54" s="41" t="str"/>
      <x:c r="O54" s="41" t="str">
        <x:v>внешняя ссылка не указана</x:v>
      </x:c>
      <x:c r="P54" s="41" t="str">
        <x:v>не указан</x:v>
      </x:c>
      <x:c r="Q54" s="41" t="str">
        <x:v>Нет — нужен точный поиск</x:v>
      </x:c>
      <x:c r="R54" s="41" t="str">
        <x:v>совпадает с карточкой Яндекс</x:v>
      </x:c>
      <x:c r="S54" s="41" t="str">
        <x:v>needs_review</x:v>
      </x:c>
      <x:c r="T54" s="41" t="str">
        <x:v>needs_review</x:v>
      </x:c>
      <x:c r="U54" s="41" t="str">
        <x:v>В карточке Яндекс Карт нет внешней ссылки; перед предложением нужен точный поиск сайта.</x:v>
      </x:c>
      <x:c r="V54" s="41" t="str">
        <x:v>Экспресс-аудит публичной ссылки и демо по услугам: ремонт системы охлаждения, эндоскопия двигателя, ремонт турбокомпрессора, установка дополнительного оборудования, ремонт сцепления.</x:v>
      </x:c>
      <x:c r="W54" s="43" t="n">
        <x:v>5</x:v>
      </x:c>
      <x:c r="X54" s="41" t="str">
        <x:v>После поиска</x:v>
      </x:c>
      <x:c r="Y54" s="41" t="str"/>
      <x:c r="Z54" s="41" t="str"/>
      <x:c r="AA54" s="41" t="str"/>
      <x:c r="AB54" s="44" t="str">
        <x:v>2026-08-21</x:v>
      </x:c>
      <x:c r="AC54" s="41" t="str">
        <x:v>Источник: публичная карточка Яндекс Карт; число отзывов взято из вкладки «Отзывы».</x:v>
      </x:c>
      <x:c r="AD54" s="58" t="str">
        <x:v>https://qasite.ru/templates/auto-service/?client=pskov-049-avtoremont</x:v>
      </x:c>
    </x:row>
    <x:row r="55" ht="44" customHeight="1">
      <x:c r="A55" s="45" t="str">
        <x:v>PSK-050</x:v>
      </x:c>
      <x:c r="B55" s="45" t="str">
        <x:v>Псковская область</x:v>
      </x:c>
      <x:c r="C55" s="45" t="str">
        <x:v>Псков</x:v>
      </x:c>
      <x:c r="D55" s="45" t="str">
        <x:v>Profservis60</x:v>
      </x:c>
      <x:c r="E55" s="45" t="str">
        <x:v>ул. Леона Поземского, 111, корп. 1, Псков</x:v>
      </x:c>
      <x:c r="F55" s="45" t="str">
        <x:v>+7 (953) 240-06-60</x:v>
      </x:c>
      <x:c r="G55" s="46" t="n">
        <x:v>3.9</x:v>
      </x:c>
      <x:c r="H55" s="47" t="n">
        <x:v>2</x:v>
      </x:c>
      <x:c r="I55" s="45" t="str">
        <x:v>Открыто до 18:00</x:v>
      </x:c>
      <x:c r="J55" s="45" t="str">
        <x:v>ремонт тормозной системы, ремонт пластиковых бамперов, замена масла, покраска автомобиля, ремонт ходовой части</x:v>
      </x:c>
      <x:c r="K55" s="45" t="str">
        <x:v>https://yandex.ru/maps/org/profservis60/96832888909/</x:v>
      </x:c>
      <x:c r="L55" s="47" t="str">
        <x:v>96832888909</x:v>
      </x:c>
      <x:c r="M55" s="45" t="str">
        <x:v>https://wa.me/89532400660</x:v>
      </x:c>
      <x:c r="N55" s="45" t="str"/>
      <x:c r="O55" s="45" t="str">
        <x:v>только публичный профиль</x:v>
      </x:c>
      <x:c r="P55" s="45" t="str">
        <x:v>мессенджер</x:v>
      </x:c>
      <x:c r="Q55" s="45" t="str">
        <x:v>Карточка Яндекс</x:v>
      </x:c>
      <x:c r="R55" s="45" t="str">
        <x:v>совпадает с карточкой Яндекс</x:v>
      </x:c>
      <x:c r="S55" s="45" t="str">
        <x:v>B</x:v>
      </x:c>
      <x:c r="T55" s="45" t="str">
        <x:v>B</x:v>
      </x:c>
      <x:c r="U55" s="45" t="str">
        <x:v>В карточке Яндекс Карт основным цифровым каналом указан VK или мессенджер; отдельный сайт не указан.</x:v>
      </x:c>
      <x:c r="V55" s="45" t="str">
        <x:v>Демо-лендинг: ремонт тормозной системы, ремонт пластиковых бамперов, замена масла, покраска автомобиля, ремонт ходовой части + Яндекс Карты, отзывы и мессенджеры.</x:v>
      </x:c>
      <x:c r="W55" s="47" t="n">
        <x:v>7</x:v>
      </x:c>
      <x:c r="X55" s="45" t="str">
        <x:v>Да</x:v>
      </x:c>
      <x:c r="Y55" s="45" t="str"/>
      <x:c r="Z55" s="45" t="str">
        <x:v>https://wa.me/89532400660</x:v>
      </x:c>
      <x:c r="AA55" s="45" t="str"/>
      <x:c r="AB55" s="48" t="str">
        <x:v>2026-08-21</x:v>
      </x:c>
      <x:c r="AC55" s="45" t="str">
        <x:v>Источник: публичная карточка Яндекс Карт; число отзывов взято из вкладки «Отзывы».</x:v>
      </x:c>
      <x:c r="AD55" s="58" t="str">
        <x:v>https://qasite.ru/templates/auto-service/?client=pskov-050-profservis60</x:v>
      </x:c>
    </x:row>
  </x:sheetData>
  <x:mergeCells>
    <x:mergeCell ref="A1:AC1"/>
    <x:mergeCell ref="A2:AC2"/>
    <x:mergeCell ref="A4:AC4"/>
  </x:mergeCells>
  <x:pageMargins left="0.7" right="0.7" top="0.75" bottom="0.75" header="0.3" footer="0.3"/>
  <x:tableParts count="1">
    <x:tablePart xmlns:r="http://schemas.openxmlformats.org/officeDocument/2006/relationships" r:id="Re225a41acaaf465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28" hidden="0" customWidth="1"/>
    <x:col min="4" max="4" width="20" hidden="0" customWidth="1"/>
    <x:col min="5" max="5" width="42" hidden="0" customWidth="1"/>
    <x:col min="6" max="6" width="42" hidden="0" customWidth="1"/>
    <x:col min="7" max="7" width="40" hidden="0" customWidth="1"/>
    <x:col min="8" max="8" width="18" hidden="0" customWidth="1"/>
    <x:col min="9" max="9" width="34" hidden="0" customWidth="1"/>
    <x:col min="10" max="10" width="30" hidden="0" customWidth="1"/>
    <x:col min="11" max="11" width="30" hidden="0" customWidth="1"/>
    <x:col min="12" max="12" width="44" hidden="0" customWidth="1"/>
    <x:col min="13" max="13" width="38" hidden="0" customWidth="1"/>
    <x:col min="14" max="14" width="58" hidden="0" customWidth="1"/>
  </x:cols>
  <x:sheetData>
    <x:row r="1" ht="30" customHeight="1">
      <x:c r="A1" s="4" t="str">
        <x:v>Демо-конфиги</x:v>
      </x:c>
    </x:row>
    <x:row r="2" ht="22" customHeight="1">
      <x:c r="A2" s="7" t="str">
        <x:v>20 приоритетных карточек категории B для быстрой сборки сайта</x:v>
      </x:c>
    </x:row>
    <x:row r="4">
      <x:c r="A4" s="34" t="str">
        <x:v>demo_id</x:v>
      </x:c>
      <x:c r="B4" s="34" t="str">
        <x:v>lead_id</x:v>
      </x:c>
      <x:c r="C4" s="34" t="str">
        <x:v>name</x:v>
      </x:c>
      <x:c r="D4" s="34" t="str">
        <x:v>template_variant</x:v>
      </x:c>
      <x:c r="E4" s="34" t="str">
        <x:v>hero_title</x:v>
      </x:c>
      <x:c r="F4" s="34" t="str">
        <x:v>hero_services</x:v>
      </x:c>
      <x:c r="G4" s="34" t="str">
        <x:v>map_query</x:v>
      </x:c>
      <x:c r="H4" s="34" t="str">
        <x:v>phone</x:v>
      </x:c>
      <x:c r="I4" s="34" t="str">
        <x:v>whatsapp_url</x:v>
      </x:c>
      <x:c r="J4" s="34" t="str">
        <x:v>telegram_url</x:v>
      </x:c>
      <x:c r="K4" s="34" t="str">
        <x:v>vk_url</x:v>
      </x:c>
      <x:c r="L4" s="34" t="str">
        <x:v>yandex_reviews_url</x:v>
      </x:c>
      <x:c r="M4" s="34" t="str">
        <x:v>meta_title</x:v>
      </x:c>
      <x:c r="N4" s="34" t="str">
        <x:v>meta_description</x:v>
      </x:c>
    </x:row>
    <x:row r="5" ht="42" customHeight="1">
      <x:c r="A5" s="37" t="str">
        <x:v>DEMO-001</x:v>
      </x:c>
      <x:c r="B5" s="37" t="str">
        <x:v>PSK-002</x:v>
      </x:c>
      <x:c r="C5" s="37" t="str">
        <x:v>Автосервис на Рижском</x:v>
      </x:c>
      <x:c r="D5" s="37" t="str">
        <x:v>classic</x:v>
      </x:c>
      <x:c r="E5" s="37" t="str">
        <x:v>Автосервис на Рижском: ремонт и обслуживание авто</x:v>
      </x:c>
      <x:c r="F5" s="37" t="str">
        <x:v>заправка и ремонт автокондиционера, ремонт тормозной системы, ремонт двигателя, полное сервисное обслуживание, замена масла</x:v>
      </x:c>
      <x:c r="G5" s="37" t="str">
        <x:v>Юбилейная ул., 2, д. Неёлово-2</x:v>
      </x:c>
      <x:c r="H5" s="37" t="str">
        <x:v>+7 (921) 703-36-03</x:v>
      </x:c>
      <x:c r="I5" s="37" t="str"/>
      <x:c r="J5" s="37" t="str">
        <x:v>https://t.me/+79217033603</x:v>
      </x:c>
      <x:c r="K5" s="37" t="str">
        <x:v>https://vk.ru/auto_service60</x:v>
      </x:c>
      <x:c r="L5" s="37" t="str">
        <x:v>https://yandex.ru/maps/org/avtoservis_na_rizhskom/1131290575/reviews/</x:v>
      </x:c>
      <x:c r="M5" s="37" t="str">
        <x:v>Автосервис на Рижском | Автосервис в Псковский район</x:v>
      </x:c>
      <x:c r="N5" s="37" t="str">
        <x:v>заправка и ремонт автокондиционера, ремонт тормозной системы, ремонт двигателя, полное сервисное обслуживание, замена масла. Адрес: Юбилейная ул., 2, д. Неёлово-2. Запись по телефону +7 (921) 703-36-03.</x:v>
      </x:c>
    </x:row>
    <x:row r="6" ht="42" customHeight="1">
      <x:c r="A6" s="37" t="str">
        <x:v>DEMO-002</x:v>
      </x:c>
      <x:c r="B6" s="37" t="str">
        <x:v>PSK-003</x:v>
      </x:c>
      <x:c r="C6" s="37" t="str">
        <x:v>Сервисный центр</x:v>
      </x:c>
      <x:c r="D6" s="37" t="str">
        <x:v>dark-performance</x:v>
      </x:c>
      <x:c r="E6" s="37" t="str">
        <x:v>Сервисный центр: ремонт и обслуживание авто</x:v>
      </x:c>
      <x:c r="F6" s="37" t="str">
        <x:v>Шиномонтаж, Магазин автозапчастей и автотоваров, Ремонт АКПП</x:v>
      </x:c>
      <x:c r="G6" s="37" t="str">
        <x:v>Советская ул., 113, корп. 2, Псков</x:v>
      </x:c>
      <x:c r="H6" s="37" t="str">
        <x:v>+7 (953) 236-22-22</x:v>
      </x:c>
      <x:c r="I6" s="37" t="str"/>
      <x:c r="J6" s="37" t="str"/>
      <x:c r="K6" s="37" t="str">
        <x:v>https://vk.ru/id135061541</x:v>
      </x:c>
      <x:c r="L6" s="37" t="str">
        <x:v>https://yandex.ru/maps/org/servisny_tsentr/1159206312/reviews/</x:v>
      </x:c>
      <x:c r="M6" s="37" t="str">
        <x:v>Сервисный центр | Автосервис в Псков</x:v>
      </x:c>
      <x:c r="N6" s="37" t="str">
        <x:v>Шиномонтаж, Магазин автозапчастей и автотоваров, Ремонт АКПП. Адрес: Советская ул., 113, корп. 2, Псков. Запись по телефону +7 (953) 236-22-22.</x:v>
      </x:c>
    </x:row>
    <x:row r="7" ht="42" customHeight="1">
      <x:c r="A7" s="37" t="str">
        <x:v>DEMO-003</x:v>
      </x:c>
      <x:c r="B7" s="37" t="str">
        <x:v>PSK-004</x:v>
      </x:c>
      <x:c r="C7" s="37" t="str">
        <x:v>Запчасти Тут</x:v>
      </x:c>
      <x:c r="D7" s="37" t="str">
        <x:v>service-grid</x:v>
      </x:c>
      <x:c r="E7" s="37" t="str">
        <x:v>Запчасти Тут: ремонт и обслуживание авто</x:v>
      </x:c>
      <x:c r="F7" s="37" t="str">
        <x:v>предрейсовый техосмотр, заправка и ремонт автокондиционера, бронирование стёкол, аэрография, ремонт выхлопной системы</x:v>
      </x:c>
      <x:c r="G7" s="37" t="str">
        <x:v>ул. Декабристов, 19/3, Псков</x:v>
      </x:c>
      <x:c r="H7" s="37" t="str">
        <x:v>+7 (906) 221-47-50</x:v>
      </x:c>
      <x:c r="I7" s="37" t="str">
        <x:v>https://wa.me/79052951500</x:v>
      </x:c>
      <x:c r="J7" s="37" t="str"/>
      <x:c r="K7" s="37" t="str">
        <x:v>https://vk.ru/zapchastitut60</x:v>
      </x:c>
      <x:c r="L7" s="37" t="str">
        <x:v>https://yandex.ru/maps/org/zapchasti_tut/230405731249/reviews/</x:v>
      </x:c>
      <x:c r="M7" s="37" t="str">
        <x:v>Запчасти Тут | Автосервис в Псков</x:v>
      </x:c>
      <x:c r="N7" s="37" t="str">
        <x:v>предрейсовый техосмотр, заправка и ремонт автокондиционера, бронирование стёкол, аэрография, ремонт выхлопной системы. Адрес: ул. Декабристов, 19/3, Псков. Запись по телефону +7 (906) 221-47-50.</x:v>
      </x:c>
    </x:row>
    <x:row r="8" ht="42" customHeight="1">
      <x:c r="A8" s="37" t="str">
        <x:v>DEMO-004</x:v>
      </x:c>
      <x:c r="B8" s="37" t="str">
        <x:v>PSK-005</x:v>
      </x:c>
      <x:c r="C8" s="37" t="str">
        <x:v>ТТК глушители</x:v>
      </x:c>
      <x:c r="D8" s="37" t="str">
        <x:v>premium-editorial</x:v>
      </x:c>
      <x:c r="E8" s="37" t="str">
        <x:v>ТТК глушители: ремонт и обслуживание авто</x:v>
      </x:c>
      <x:c r="F8" s="37" t="str">
        <x:v>Автосервис, автотехцентр, Сварочные работы</x:v>
      </x:c>
      <x:c r="G8" s="37" t="str">
        <x:v>ул. Труда, 83, Псков</x:v>
      </x:c>
      <x:c r="H8" s="37" t="str">
        <x:v>+7 (906) 222-83-49</x:v>
      </x:c>
      <x:c r="I8" s="37" t="str">
        <x:v>https://wa.me/79062228349</x:v>
      </x:c>
      <x:c r="J8" s="37" t="str">
        <x:v>https://t.me/ttkservicepskov</x:v>
      </x:c>
      <x:c r="K8" s="37" t="str">
        <x:v>http://vk.ru/tskapskov</x:v>
      </x:c>
      <x:c r="L8" s="37" t="str">
        <x:v>https://yandex.ru/maps/org/ttk_glushiteli/33756742224/reviews/</x:v>
      </x:c>
      <x:c r="M8" s="37" t="str">
        <x:v>ТТК глушители | Автосервис в Псков</x:v>
      </x:c>
      <x:c r="N8" s="37" t="str">
        <x:v>Автосервис, автотехцентр, Сварочные работы. Адрес: ул. Труда, 83, Псков. Запись по телефону +7 (906) 222-83-49.</x:v>
      </x:c>
    </x:row>
    <x:row r="9" ht="42" customHeight="1">
      <x:c r="A9" s="37" t="str">
        <x:v>DEMO-005</x:v>
      </x:c>
      <x:c r="B9" s="37" t="str">
        <x:v>PSK-006</x:v>
      </x:c>
      <x:c r="C9" s="37" t="str">
        <x:v>Мотор</x:v>
      </x:c>
      <x:c r="D9" s="37" t="str">
        <x:v>classic</x:v>
      </x:c>
      <x:c r="E9" s="37" t="str">
        <x:v>Мотор: ремонт и обслуживание авто</x:v>
      </x:c>
      <x:c r="F9" s="37" t="str">
        <x:v>заправка и ремонт автокондиционера, бронирование стёкол, ремонт выхлопной системы, ремонт тормозной системы, ремонт пластиковых бамперов</x:v>
      </x:c>
      <x:c r="G9" s="37" t="str">
        <x:v>Инженерная ул., 102, Псков</x:v>
      </x:c>
      <x:c r="H9" s="37" t="str">
        <x:v>+7 (953) 243-74-74</x:v>
      </x:c>
      <x:c r="I9" s="37" t="str">
        <x:v>https://wa.me/79532437474</x:v>
      </x:c>
      <x:c r="J9" s="37" t="str">
        <x:v>https://t.me/+79532437474</x:v>
      </x:c>
      <x:c r="K9" s="37" t="str">
        <x:v>https://vk.ru/motor_oil_60</x:v>
      </x:c>
      <x:c r="L9" s="37" t="str">
        <x:v>https://yandex.ru/maps/org/motor/219868361638/reviews/</x:v>
      </x:c>
      <x:c r="M9" s="37" t="str">
        <x:v>Мотор | Автосервис в Псков</x:v>
      </x:c>
      <x:c r="N9" s="37" t="str">
        <x:v>заправка и ремонт автокондиционера, бронирование стёкол, ремонт выхлопной системы, ремонт тормозной системы, ремонт пластиковых бамперов. Адрес: Инженерная ул., 102, Псков. Запись по телефону +7 (953) 243-74-74.</x:v>
      </x:c>
    </x:row>
    <x:row r="10" ht="42" customHeight="1">
      <x:c r="A10" s="37" t="str">
        <x:v>DEMO-006</x:v>
      </x:c>
      <x:c r="B10" s="37" t="str">
        <x:v>PSK-009</x:v>
      </x:c>
      <x:c r="C10" s="37" t="str">
        <x:v>На высоте</x:v>
      </x:c>
      <x:c r="D10" s="37" t="str">
        <x:v>dark-performance</x:v>
      </x:c>
      <x:c r="E10" s="37" t="str">
        <x:v>На высоте: ремонт и обслуживание авто</x:v>
      </x:c>
      <x:c r="F10" s="37" t="str">
        <x:v>заправка и ремонт автокондиционера, ремонт выхлопной системы, ремонт тормозной системы, ремонт АКПП, ремонт двигателя</x:v>
      </x:c>
      <x:c r="G10" s="37" t="str">
        <x:v>Гаражный пр., 8, Псков</x:v>
      </x:c>
      <x:c r="H10" s="37" t="str">
        <x:v>+7 (905) 295-46-03</x:v>
      </x:c>
      <x:c r="I10" s="37" t="str"/>
      <x:c r="J10" s="37" t="str"/>
      <x:c r="K10" s="37" t="str">
        <x:v>https://vk.ru/service_na_vysote</x:v>
      </x:c>
      <x:c r="L10" s="37" t="str">
        <x:v>https://yandex.ru/maps/org/na_vysote/56148152434/reviews/</x:v>
      </x:c>
      <x:c r="M10" s="37" t="str">
        <x:v>На высоте | Автосервис в Псков</x:v>
      </x:c>
      <x:c r="N10" s="37" t="str">
        <x:v>заправка и ремонт автокондиционера, ремонт выхлопной системы, ремонт тормозной системы, ремонт АКПП, ремонт двигателя. Адрес: Гаражный пр., 8, Псков. Запись по телефону +7 (905) 295-46-03.</x:v>
      </x:c>
    </x:row>
    <x:row r="11" ht="42" customHeight="1">
      <x:c r="A11" s="37" t="str">
        <x:v>DEMO-007</x:v>
      </x:c>
      <x:c r="B11" s="37" t="str">
        <x:v>PSK-010</x:v>
      </x:c>
      <x:c r="C11" s="37" t="str">
        <x:v>RemFar. psk</x:v>
      </x:c>
      <x:c r="D11" s="37" t="str">
        <x:v>service-grid</x:v>
      </x:c>
      <x:c r="E11" s="37" t="str">
        <x:v>RemFar. psk: ремонт и обслуживание авто</x:v>
      </x:c>
      <x:c r="F11" s="37" t="str">
        <x:v>Студия тюнинга, Оклейка машин, Автосвет</x:v>
      </x:c>
      <x:c r="G11" s="37" t="str">
        <x:v>Ипподромная ул., 145, Псков</x:v>
      </x:c>
      <x:c r="H11" s="37" t="str">
        <x:v>+7 (931) 009-82-93</x:v>
      </x:c>
      <x:c r="I11" s="37" t="str">
        <x:v>https://wa.me/79992444999</x:v>
      </x:c>
      <x:c r="J11" s="37" t="str">
        <x:v>https://t.me/remfar60</x:v>
      </x:c>
      <x:c r="K11" s="37" t="str">
        <x:v>https://vk.ru/remfarpsk</x:v>
      </x:c>
      <x:c r="L11" s="37" t="str">
        <x:v>https://yandex.ru/maps/org/remfar_psk/196447188783/reviews/</x:v>
      </x:c>
      <x:c r="M11" s="37" t="str">
        <x:v>RemFar. psk | Автосервис в Псков</x:v>
      </x:c>
      <x:c r="N11" s="37" t="str">
        <x:v>Студия тюнинга, Оклейка машин, Автосвет. Адрес: Ипподромная ул., 145, Псков. Запись по телефону +7 (931) 009-82-93.</x:v>
      </x:c>
    </x:row>
    <x:row r="12" ht="42" customHeight="1">
      <x:c r="A12" s="37" t="str">
        <x:v>DEMO-008</x:v>
      </x:c>
      <x:c r="B12" s="37" t="str">
        <x:v>PSK-011</x:v>
      </x:c>
      <x:c r="C12" s="37" t="str">
        <x:v>Драйв Плюс</x:v>
      </x:c>
      <x:c r="D12" s="37" t="str">
        <x:v>premium-editorial</x:v>
      </x:c>
      <x:c r="E12" s="37" t="str">
        <x:v>Драйв Плюс: ремонт и обслуживание авто</x:v>
      </x:c>
      <x:c r="F12" s="37" t="str">
        <x:v>ремонт тормозной системы, ремонт двигателя, полное сервисное обслуживание, замена масла, ремонт ходовой части</x:v>
      </x:c>
      <x:c r="G12" s="37" t="str">
        <x:v>Гаражный пр., 18А, Псков</x:v>
      </x:c>
      <x:c r="H12" s="37" t="str">
        <x:v>+7 (905) 295-99-96</x:v>
      </x:c>
      <x:c r="I12" s="37" t="str"/>
      <x:c r="J12" s="37" t="str">
        <x:v>https://t.me/@wwsergeyww</x:v>
      </x:c>
      <x:c r="K12" s="37" t="str"/>
      <x:c r="L12" s="37" t="str">
        <x:v>https://yandex.ru/maps/org/drayv_plyus/83568646707/reviews/</x:v>
      </x:c>
      <x:c r="M12" s="37" t="str">
        <x:v>Драйв Плюс | Автосервис в Псков</x:v>
      </x:c>
      <x:c r="N12" s="37" t="str">
        <x:v>ремонт тормозной системы, ремонт двигателя, полное сервисное обслуживание, замена масла, ремонт ходовой части. Адрес: Гаражный пр., 18А, Псков. Запись по телефону +7 (905) 295-99-96.</x:v>
      </x:c>
    </x:row>
    <x:row r="13" ht="42" customHeight="1">
      <x:c r="A13" s="37" t="str">
        <x:v>DEMO-009</x:v>
      </x:c>
      <x:c r="B13" s="37" t="str">
        <x:v>PSK-012</x:v>
      </x:c>
      <x:c r="C13" s="37" t="str">
        <x:v>Автосервис 24</x:v>
      </x:c>
      <x:c r="D13" s="37" t="str">
        <x:v>classic</x:v>
      </x:c>
      <x:c r="E13" s="37" t="str">
        <x:v>Автосервис 24: ремонт и обслуживание авто</x:v>
      </x:c>
      <x:c r="F13" s="37" t="str">
        <x:v>ремонт выхлопной системы, ремонт тормозной системы, ремонт пластиковых бамперов, ремонт АКПП, ремонт двигателя</x:v>
      </x:c>
      <x:c r="G13" s="37" t="str">
        <x:v>Крестовское ш., 40Б, корп. 1, Псков</x:v>
      </x:c>
      <x:c r="H13" s="37" t="str">
        <x:v>+7 (939) 409-90-08</x:v>
      </x:c>
      <x:c r="I13" s="37" t="str"/>
      <x:c r="J13" s="37" t="str"/>
      <x:c r="K13" s="37" t="str">
        <x:v>https://vk.com/club16756281</x:v>
      </x:c>
      <x:c r="L13" s="37" t="str">
        <x:v>https://yandex.ru/maps/org/avtoservis_24/109849484973/reviews/</x:v>
      </x:c>
      <x:c r="M13" s="37" t="str">
        <x:v>Автосервис 24 | Автосервис в Псков</x:v>
      </x:c>
      <x:c r="N13" s="37" t="str">
        <x:v>ремонт выхлопной системы, ремонт тормозной системы, ремонт пластиковых бамперов, ремонт АКПП, ремонт двигателя. Адрес: Крестовское ш., 40Б, корп. 1, Псков. Запись по телефону +7 (939) 409-90-08.</x:v>
      </x:c>
    </x:row>
    <x:row r="14" ht="42" customHeight="1">
      <x:c r="A14" s="37" t="str">
        <x:v>DEMO-010</x:v>
      </x:c>
      <x:c r="B14" s="37" t="str">
        <x:v>PSK-013</x:v>
      </x:c>
      <x:c r="C14" s="37" t="str">
        <x:v>Tes Auto</x:v>
      </x:c>
      <x:c r="D14" s="37" t="str">
        <x:v>dark-performance</x:v>
      </x:c>
      <x:c r="E14" s="37" t="str">
        <x:v>Tes Auto: ремонт и обслуживание авто</x:v>
      </x:c>
      <x:c r="F14" s="37" t="str">
        <x:v>ремонт дисков, ремонт деталей АКПП, ремонт системы охлаждения, ремонт гидроусилителя руля, проточка тормозных дисков</x:v>
      </x:c>
      <x:c r="G14" s="37" t="str">
        <x:v>Октябрьский просп., 50, корп. 1, Псков</x:v>
      </x:c>
      <x:c r="H14" s="37" t="str">
        <x:v>+7 (921) 703-37-77</x:v>
      </x:c>
      <x:c r="I14" s="37" t="str"/>
      <x:c r="J14" s="37" t="str">
        <x:v>https://t.me/TesAuto</x:v>
      </x:c>
      <x:c r="K14" s="37" t="str">
        <x:v>https://vk.ru/tesautopskov</x:v>
      </x:c>
      <x:c r="L14" s="37" t="str">
        <x:v>https://yandex.ru/maps/org/tes_auto/64233581306/reviews/</x:v>
      </x:c>
      <x:c r="M14" s="37" t="str">
        <x:v>Tes Auto | Автосервис в Псков</x:v>
      </x:c>
      <x:c r="N14" s="37" t="str">
        <x:v>ремонт дисков, ремонт деталей АКПП, ремонт системы охлаждения, ремонт гидроусилителя руля, проточка тормозных дисков. Адрес: Октябрьский просп., 50, корп. 1, Псков. Запись по телефону +7 (921) 703-37-77.</x:v>
      </x:c>
    </x:row>
    <x:row r="15" ht="42" customHeight="1">
      <x:c r="A15" s="37" t="str">
        <x:v>DEMO-011</x:v>
      </x:c>
      <x:c r="B15" s="37" t="str">
        <x:v>PSK-018</x:v>
      </x:c>
      <x:c r="C15" s="37" t="str">
        <x:v>АнтиКор60</x:v>
      </x:c>
      <x:c r="D15" s="37" t="str">
        <x:v>service-grid</x:v>
      </x:c>
      <x:c r="E15" s="37" t="str">
        <x:v>АнтиКор60: ремонт и обслуживание авто</x:v>
      </x:c>
      <x:c r="F15" s="37" t="str">
        <x:v>Автосервис, автотехцентр, Детейлинг, Нанесение покрытий</x:v>
      </x:c>
      <x:c r="G15" s="37" t="str">
        <x:v>Алмазная ул., 9Б, Псков АК АнтиКор60</x:v>
      </x:c>
      <x:c r="H15" s="37" t="str">
        <x:v>+7 (900) 991-19-00</x:v>
      </x:c>
      <x:c r="I15" s="37" t="str">
        <x:v>https://wa.me/+79009911900</x:v>
      </x:c>
      <x:c r="J15" s="37" t="str">
        <x:v>https://t.me/+79009911900</x:v>
      </x:c>
      <x:c r="K15" s="37" t="str">
        <x:v>https://vk.ru/anticorpsk60</x:v>
      </x:c>
      <x:c r="L15" s="37" t="str">
        <x:v>https://yandex.ru/maps/org/antikor60/29822091190/reviews/</x:v>
      </x:c>
      <x:c r="M15" s="37" t="str">
        <x:v>АнтиКор60 | Автосервис в Псков</x:v>
      </x:c>
      <x:c r="N15" s="37" t="str">
        <x:v>Автосервис, автотехцентр, Детейлинг, Нанесение покрытий. Адрес: Алмазная ул., 9Б, Псков АК АнтиКор60. Запись по телефону +7 (900) 991-19-00.</x:v>
      </x:c>
    </x:row>
    <x:row r="16" ht="42" customHeight="1">
      <x:c r="A16" s="37" t="str">
        <x:v>DEMO-012</x:v>
      </x:c>
      <x:c r="B16" s="37" t="str">
        <x:v>PSK-019</x:v>
      </x:c>
      <x:c r="C16" s="37" t="str">
        <x:v>Start Plus</x:v>
      </x:c>
      <x:c r="D16" s="37" t="str">
        <x:v>premium-editorial</x:v>
      </x:c>
      <x:c r="E16" s="37" t="str">
        <x:v>Start Plus: ремонт и обслуживание авто</x:v>
      </x:c>
      <x:c r="F16" s="37" t="str">
        <x:v>ремонт автоэлектрики Способ оплаты:скидки на услуги льготным категориям, дисконтная система скидок, наличными, банковским переводом, онлайн</x:v>
      </x:c>
      <x:c r="G16" s="37" t="str">
        <x:v>Звёздная ул., 3А, Псков</x:v>
      </x:c>
      <x:c r="H16" s="37" t="str">
        <x:v>+7 (921) 003-43-46</x:v>
      </x:c>
      <x:c r="I16" s="37" t="str">
        <x:v>https://wa.me/89210034346</x:v>
      </x:c>
      <x:c r="J16" s="37" t="str"/>
      <x:c r="K16" s="37" t="str">
        <x:v>https://vk.ru/startpluspsk</x:v>
      </x:c>
      <x:c r="L16" s="37" t="str">
        <x:v>https://yandex.ru/maps/org/start_plus/71231727499/reviews/</x:v>
      </x:c>
      <x:c r="M16" s="37" t="str">
        <x:v>Start Plus | Автосервис в Псков</x:v>
      </x:c>
      <x:c r="N16" s="37" t="str">
        <x:v>ремонт автоэлектрики Способ оплаты:скидки на услуги льготным категориям, дисконтная система скидок, наличными, банковским переводом, онлайн. Адрес: Звёздная ул., 3А, Псков. Запись по телефону +7 (921) 003-43-46.</x:v>
      </x:c>
    </x:row>
    <x:row r="17" ht="42" customHeight="1">
      <x:c r="A17" s="37" t="str">
        <x:v>DEMO-013</x:v>
      </x:c>
      <x:c r="B17" s="37" t="str">
        <x:v>PSK-020</x:v>
      </x:c>
      <x:c r="C17" s="37" t="str">
        <x:v>Правильный Авторемонт</x:v>
      </x:c>
      <x:c r="D17" s="37" t="str">
        <x:v>classic</x:v>
      </x:c>
      <x:c r="E17" s="37" t="str">
        <x:v>Правильный Авторемонт: ремонт и обслуживание авто</x:v>
      </x:c>
      <x:c r="F17" s="37" t="str">
        <x:v>ремонт тормозной системы, ремонт двигателя, полное сервисное обслуживание, замена масла, установка парктроника</x:v>
      </x:c>
      <x:c r="G17" s="37" t="str">
        <x:v>ул. Николая Васильева, 90Б, Псков</x:v>
      </x:c>
      <x:c r="H17" s="37" t="str">
        <x:v>+7 (921) 003-70-33</x:v>
      </x:c>
      <x:c r="I17" s="37" t="str">
        <x:v>https://wa.me/79210037033</x:v>
      </x:c>
      <x:c r="J17" s="37" t="str"/>
      <x:c r="K17" s="37" t="str">
        <x:v>https://vk.ru/remontavto60</x:v>
      </x:c>
      <x:c r="L17" s="37" t="str">
        <x:v>https://yandex.ru/maps/org/pravilny_avtoremont/69662285719/reviews/</x:v>
      </x:c>
      <x:c r="M17" s="37" t="str">
        <x:v>Правильный Авторемонт | Автосервис в Псков</x:v>
      </x:c>
      <x:c r="N17" s="37" t="str">
        <x:v>ремонт тормозной системы, ремонт двигателя, полное сервисное обслуживание, замена масла, установка парктроника. Адрес: ул. Николая Васильева, 90Б, Псков. Запись по телефону +7 (921) 003-70-33.</x:v>
      </x:c>
    </x:row>
    <x:row r="18" ht="42" customHeight="1">
      <x:c r="A18" s="37" t="str">
        <x:v>DEMO-014</x:v>
      </x:c>
      <x:c r="B18" s="37" t="str">
        <x:v>PSK-024</x:v>
      </x:c>
      <x:c r="C18" s="37" t="str">
        <x:v>Форсаж - автосервис, запчасти для иномарок</x:v>
      </x:c>
      <x:c r="D18" s="37" t="str">
        <x:v>dark-performance</x:v>
      </x:c>
      <x:c r="E18" s="37" t="str">
        <x:v>Форсаж - автосервис, запчасти для иномарок: ремонт и обслуживание авто</x:v>
      </x:c>
      <x:c r="F18" s="37" t="str">
        <x:v>ремонт тормозной системы, ремонт двигателя, полное сервисное обслуживание, замена масла, установка парктроника</x:v>
      </x:c>
      <x:c r="G18" s="37" t="str">
        <x:v>Октябрьский просп., 56А, Псков</x:v>
      </x:c>
      <x:c r="H18" s="37" t="str">
        <x:v>+7 (953) 232-26-26</x:v>
      </x:c>
      <x:c r="I18" s="37" t="str">
        <x:v>https://wa.me/79532322626</x:v>
      </x:c>
      <x:c r="J18" s="37" t="str">
        <x:v>https://t.me/+7</x:v>
      </x:c>
      <x:c r="K18" s="37" t="str">
        <x:v>https://vk.ru/forsage60</x:v>
      </x:c>
      <x:c r="L18" s="37" t="str">
        <x:v>https://yandex.ru/maps/org/forsazh_avtoservis_zapchasti_dlya_inomarok/1162999072/reviews/</x:v>
      </x:c>
      <x:c r="M18" s="37" t="str">
        <x:v>Форсаж - автосервис, запчасти для иномарок | Автосервис в Псков</x:v>
      </x:c>
      <x:c r="N18" s="37" t="str">
        <x:v>ремонт тормозной системы, ремонт двигателя, полное сервисное обслуживание, замена масла, установка парктроника. Адрес: Октябрьский просп., 56А, Псков. Запись по телефону +7 (953) 232-26-26.</x:v>
      </x:c>
    </x:row>
    <x:row r="19" ht="42" customHeight="1">
      <x:c r="A19" s="37" t="str">
        <x:v>DEMO-015</x:v>
      </x:c>
      <x:c r="B19" s="37" t="str">
        <x:v>PSK-025</x:v>
      </x:c>
      <x:c r="C19" s="37" t="str">
        <x:v>Five Servise</x:v>
      </x:c>
      <x:c r="D19" s="37" t="str">
        <x:v>service-grid</x:v>
      </x:c>
      <x:c r="E19" s="37" t="str">
        <x:v>Five Servise: ремонт и обслуживание авто</x:v>
      </x:c>
      <x:c r="F19" s="37" t="str">
        <x:v>ремонт двигателя </x:v>
      </x:c>
      <x:c r="G19" s="37" t="str">
        <x:v>Советская ул., 51, Псков</x:v>
      </x:c>
      <x:c r="H19" s="37" t="str">
        <x:v>+7 (911) 398-95-66</x:v>
      </x:c>
      <x:c r="I19" s="37" t="str">
        <x:v>https://wa.me/79113989566</x:v>
      </x:c>
      <x:c r="J19" s="37" t="str"/>
      <x:c r="K19" s="37" t="str">
        <x:v>https://vk.ru/fiveservice.pskov</x:v>
      </x:c>
      <x:c r="L19" s="37" t="str">
        <x:v>https://yandex.ru/maps/org/five_servise/27156686033/reviews/</x:v>
      </x:c>
      <x:c r="M19" s="37" t="str">
        <x:v>Five Servise | Автосервис в Псков</x:v>
      </x:c>
      <x:c r="N19" s="37" t="str">
        <x:v>ремонт двигателя . Адрес: Советская ул., 51, Псков. Запись по телефону +7 (911) 398-95-66.</x:v>
      </x:c>
    </x:row>
    <x:row r="20" ht="42" customHeight="1">
      <x:c r="A20" s="37" t="str">
        <x:v>DEMO-016</x:v>
      </x:c>
      <x:c r="B20" s="37" t="str">
        <x:v>PSK-026</x:v>
      </x:c>
      <x:c r="C20" s="37" t="str">
        <x:v>На 5 с плюсом</x:v>
      </x:c>
      <x:c r="D20" s="37" t="str">
        <x:v>premium-editorial</x:v>
      </x:c>
      <x:c r="E20" s="37" t="str">
        <x:v>На 5 с плюсом: ремонт и обслуживание авто</x:v>
      </x:c>
      <x:c r="F20" s="37" t="str">
        <x:v>ремонт пластиковых бамперов, ремонт АКПП, ремонт двигателя, замена масла, покраска автомобиля</x:v>
      </x:c>
      <x:c r="G20" s="37" t="str">
        <x:v>Инженерная ул., 9, Псков</x:v>
      </x:c>
      <x:c r="H20" s="37" t="str">
        <x:v>+7 (911) 398-90-60</x:v>
      </x:c>
      <x:c r="I20" s="37" t="str">
        <x:v>https://wa.me/79113989060</x:v>
      </x:c>
      <x:c r="J20" s="37" t="str"/>
      <x:c r="K20" s="37" t="str"/>
      <x:c r="L20" s="37" t="str">
        <x:v>https://yandex.ru/maps/org/na_5_s_plyusom/1192036916/reviews/</x:v>
      </x:c>
      <x:c r="M20" s="37" t="str">
        <x:v>На 5 с плюсом | Автосервис в Псков</x:v>
      </x:c>
      <x:c r="N20" s="37" t="str">
        <x:v>ремонт пластиковых бамперов, ремонт АКПП, ремонт двигателя, замена масла, покраска автомобиля. Адрес: Инженерная ул., 9, Псков. Запись по телефону +7 (911) 398-90-60.</x:v>
      </x:c>
    </x:row>
    <x:row r="21" ht="42" customHeight="1">
      <x:c r="A21" s="37" t="str">
        <x:v>DEMO-017</x:v>
      </x:c>
      <x:c r="B21" s="37" t="str">
        <x:v>PSK-027</x:v>
      </x:c>
      <x:c r="C21" s="37" t="str">
        <x:v>АВТОвыхлоп</x:v>
      </x:c>
      <x:c r="D21" s="37" t="str">
        <x:v>classic</x:v>
      </x:c>
      <x:c r="E21" s="37" t="str">
        <x:v>АВТОвыхлоп: ремонт и обслуживание авто</x:v>
      </x:c>
      <x:c r="F21" s="37" t="str">
        <x:v>ремонт выхлопной системы </x:v>
      </x:c>
      <x:c r="G21" s="37" t="str">
        <x:v>Балтийская ул., 12И, д. Борисовичи</x:v>
      </x:c>
      <x:c r="H21" s="37" t="str">
        <x:v>+7 (951) 754-86-06</x:v>
      </x:c>
      <x:c r="I21" s="37" t="str">
        <x:v>https://wa.me/+79532312682</x:v>
      </x:c>
      <x:c r="J21" s="37" t="str"/>
      <x:c r="K21" s="37" t="str">
        <x:v>https://vk.ru/autovihloppskov</x:v>
      </x:c>
      <x:c r="L21" s="37" t="str">
        <x:v>https://yandex.ru/maps/org/avtovykhlop/199350892290/reviews/</x:v>
      </x:c>
      <x:c r="M21" s="37" t="str">
        <x:v>АВТОвыхлоп | Автосервис в Псковский район</x:v>
      </x:c>
      <x:c r="N21" s="37" t="str">
        <x:v>ремонт выхлопной системы . Адрес: Балтийская ул., 12И, д. Борисовичи. Запись по телефону +7 (951) 754-86-06.</x:v>
      </x:c>
    </x:row>
    <x:row r="22" ht="42" customHeight="1">
      <x:c r="A22" s="37" t="str">
        <x:v>DEMO-018</x:v>
      </x:c>
      <x:c r="B22" s="37" t="str">
        <x:v>PSK-028</x:v>
      </x:c>
      <x:c r="C22" s="37" t="str">
        <x:v>Мастер Дизель Псков</x:v>
      </x:c>
      <x:c r="D22" s="37" t="str">
        <x:v>dark-performance</x:v>
      </x:c>
      <x:c r="E22" s="37" t="str">
        <x:v>Мастер Дизель Псков: ремонт и обслуживание авто</x:v>
      </x:c>
      <x:c r="F22" s="37" t="str">
        <x:v>заправка и ремонт автокондиционера, ремонт выхлопной системы, ремонт тормозной системы, ремонт АКПП, ремонт двигателя</x:v>
      </x:c>
      <x:c r="G22" s="37" t="str">
        <x:v>Сосновая ул., 9, посёлок Корытово, Псков</x:v>
      </x:c>
      <x:c r="H22" s="37" t="str">
        <x:v>+7 (921) 003-03-08</x:v>
      </x:c>
      <x:c r="I22" s="37" t="str">
        <x:v>https://wa.me/79210030308</x:v>
      </x:c>
      <x:c r="J22" s="37" t="str"/>
      <x:c r="K22" s="37" t="str">
        <x:v>https://vk.ru/diesel_pskov</x:v>
      </x:c>
      <x:c r="L22" s="37" t="str">
        <x:v>https://yandex.ru/maps/org/master_dizel_pskov/130204021321/reviews/</x:v>
      </x:c>
      <x:c r="M22" s="37" t="str">
        <x:v>Мастер Дизель Псков | Автосервис в Псковский район</x:v>
      </x:c>
      <x:c r="N22" s="37" t="str">
        <x:v>заправка и ремонт автокондиционера, ремонт выхлопной системы, ремонт тормозной системы, ремонт АКПП, ремонт двигателя. Адрес: Сосновая ул., 9, посёлок Корытово, Псков. Запись по телефону +7 (921) 003-03-08.</x:v>
      </x:c>
    </x:row>
    <x:row r="23" ht="42" customHeight="1">
      <x:c r="A23" s="37" t="str">
        <x:v>DEMO-019</x:v>
      </x:c>
      <x:c r="B23" s="37" t="str">
        <x:v>PSK-030</x:v>
      </x:c>
      <x:c r="C23" s="37" t="str">
        <x:v>Мб Моторс</x:v>
      </x:c>
      <x:c r="D23" s="37" t="str">
        <x:v>service-grid</x:v>
      </x:c>
      <x:c r="E23" s="37" t="str">
        <x:v>Мб Моторс: ремонт и обслуживание авто</x:v>
      </x:c>
      <x:c r="F23" s="37" t="str">
        <x:v>полное сервисное обслуживание, ремонт генераторов, ремонт сцепления, ремонт тормозной системы, удаление катализаторов</x:v>
      </x:c>
      <x:c r="G23" s="37" t="str">
        <x:v>д. Уграда, 18</x:v>
      </x:c>
      <x:c r="H23" s="37" t="str">
        <x:v>+7 (911) 358-59-99</x:v>
      </x:c>
      <x:c r="I23" s="37" t="str">
        <x:v>https://wa.me/79113585999</x:v>
      </x:c>
      <x:c r="J23" s="37" t="str">
        <x:v>https://t.me/MBMotors60</x:v>
      </x:c>
      <x:c r="K23" s="37" t="str"/>
      <x:c r="L23" s="37" t="str">
        <x:v>https://yandex.ru/maps/org/mb_motors/107788993104/reviews/</x:v>
      </x:c>
      <x:c r="M23" s="37" t="str">
        <x:v>Мб Моторс | Автосервис в Псковский район</x:v>
      </x:c>
      <x:c r="N23" s="37" t="str">
        <x:v>полное сервисное обслуживание, ремонт генераторов, ремонт сцепления, ремонт тормозной системы, удаление катализаторов. Адрес: д. Уграда, 18. Запись по телефону +7 (911) 358-59-99.</x:v>
      </x:c>
    </x:row>
    <x:row r="24" ht="42" customHeight="1">
      <x:c r="A24" s="37" t="str">
        <x:v>DEMO-020</x:v>
      </x:c>
      <x:c r="B24" s="37" t="str">
        <x:v>PSK-034</x:v>
      </x:c>
      <x:c r="C24" s="37" t="str">
        <x:v>АвтоВольт</x:v>
      </x:c>
      <x:c r="D24" s="37" t="str">
        <x:v>premium-editorial</x:v>
      </x:c>
      <x:c r="E24" s="37" t="str">
        <x:v>АвтоВольт: ремонт и обслуживание авто</x:v>
      </x:c>
      <x:c r="F24" s="37" t="str">
        <x:v>ремонт салона, ремонт распредвала, ремонт дисков, ремонт деталей АКПП, ремонт системы охлаждения</x:v>
      </x:c>
      <x:c r="G24" s="37" t="str">
        <x:v>Советская ул., 51, Псков</x:v>
      </x:c>
      <x:c r="H24" s="37" t="str">
        <x:v>+7 (909) 573-77-00</x:v>
      </x:c>
      <x:c r="I24" s="37" t="str"/>
      <x:c r="J24" s="37" t="str">
        <x:v>https://t.me/LEEEEEROYY</x:v>
      </x:c>
      <x:c r="K24" s="37" t="str"/>
      <x:c r="L24" s="37" t="str">
        <x:v>https://yandex.ru/maps/org/avtovolt/30790756970/reviews/</x:v>
      </x:c>
      <x:c r="M24" s="37" t="str">
        <x:v>АвтоВольт | Автосервис в Псков</x:v>
      </x:c>
      <x:c r="N24" s="37" t="str">
        <x:v>ремонт салона, ремонт распредвала, ремонт дисков, ремонт деталей АКПП, ремонт системы охлаждения. Адрес: Советская ул., 51, Псков. Запись по телефону +7 (909) 573-77-00.</x:v>
      </x:c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c388119ac23d4b3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95" hidden="0" customWidth="1"/>
  </x:cols>
  <x:sheetData>
    <x:row r="1" ht="30" customHeight="1">
      <x:c r="A1" s="4" t="str">
        <x:v>Справка и границы проверки</x:v>
      </x:c>
    </x:row>
    <x:row r="2" ht="22" customHeight="1">
      <x:c r="A2" s="7" t="str">
        <x:v>Партия подготовлена для первичного аутрича, не для массовой рассылки без повторной проверки</x:v>
      </x:c>
    </x:row>
    <x:row r="4">
      <x:c r="A4" s="11" t="str">
        <x:v>Параметр</x:v>
      </x:c>
      <x:c r="B4" s="11" t="str">
        <x:v>Значение</x:v>
      </x:c>
    </x:row>
    <x:row r="5" ht="42" customHeight="1">
      <x:c r="A5" s="41" t="str">
        <x:v>Регион</x:v>
      </x:c>
      <x:c r="B5" s="41" t="str">
        <x:v>Псковская область; первичная выдача по Пскову и ближайшим населённым пунктам</x:v>
      </x:c>
    </x:row>
    <x:row r="6" ht="42" customHeight="1">
      <x:c r="A6" s="41" t="str">
        <x:v>Источник</x:v>
      </x:c>
      <x:c r="B6" s="41" t="str">
        <x:v>Публичные карточки Яндекс Карт, открытые вручную 21.08.2026</x:v>
      </x:c>
    </x:row>
    <x:row r="7" ht="42" customHeight="1">
      <x:c r="A7" s="41" t="str">
        <x:v>Исключено</x:v>
      </x:c>
      <x:c r="B7" s="41" t="str">
        <x:v>Официальные дилеры, крупные сети, закрытые и нерелевантные точки, карточки без отзывов</x:v>
      </x:c>
    </x:row>
    <x:row r="8" ht="42" customHeight="1">
      <x:c r="A8" s="41" t="str">
        <x:v>Телефоны</x:v>
      </x:c>
      <x:c r="B8" s="41" t="str">
        <x:v>Публичные номера из карточек; у «Автосервиса на Рижском» номер взят из публичной Telegram-ссылки в той же карточке</x:v>
      </x:c>
    </x:row>
    <x:row r="9" ht="42" customHeight="1">
      <x:c r="A9" s="41" t="str">
        <x:v>Оценка сайта</x:v>
      </x:c>
      <x:c r="B9" s="41" t="str">
        <x:v>B присваивается карточкам только с VK, мессенджером или конструктором; needs_review означает, что независимый домен не был оценён</x:v>
      </x:c>
    </x:row>
    <x:row r="10" ht="42" customHeight="1">
      <x:c r="A10" s="41" t="str">
        <x:v>Следующий шаг</x:v>
      </x:c>
      <x:c r="B10" s="41" t="str">
        <x:v>Открыть needs_review, проверить соответствие контактов и выбрать лучшие 10-20 для демо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32" hidden="0" customWidth="1"/>
    <x:col min="3" max="3" width="19" hidden="0" customWidth="1"/>
    <x:col min="4" max="4" width="64" hidden="0" customWidth="1"/>
    <x:col min="5" max="5" width="64" hidden="0" customWidth="1"/>
  </x:cols>
  <x:sheetData>
    <x:row r="1" ht="30" customHeight="1">
      <x:c r="A1" s="93" t="str">
        <x:v>Персональные демо-ссылки</x:v>
      </x:c>
      <x:c r="B1" s="93"/>
      <x:c r="C1" s="93"/>
      <x:c r="D1" s="93"/>
      <x:c r="E1" s="93"/>
    </x:row>
    <x:row r="2" ht="34" customHeight="1">
      <x:c r="A2" s="94" t="str">
        <x:v>Скопируйте основную ссылку для коммерческого предложения. Домен qasite.ru начнёт открывать демо после завершения настройки GitHub Pages.</x:v>
      </x:c>
      <x:c r="B2" s="94"/>
      <x:c r="C2" s="94"/>
      <x:c r="D2" s="94"/>
      <x:c r="E2" s="94"/>
    </x:row>
    <x:row r="3">
      <x:c r="A3" s="53"/>
      <x:c r="B3" s="53"/>
      <x:c r="C3" s="53"/>
      <x:c r="D3" s="53"/>
      <x:c r="E3" s="53"/>
    </x:row>
    <x:row r="4" ht="22" customHeight="1">
      <x:c r="A4" s="95" t="str">
        <x:v>lead_id</x:v>
      </x:c>
      <x:c r="B4" s="95" t="str">
        <x:v>name</x:v>
      </x:c>
      <x:c r="C4" s="95" t="str">
        <x:v>phone</x:v>
      </x:c>
      <x:c r="D4" s="95" t="str">
        <x:v>demo_url</x:v>
      </x:c>
      <x:c r="E4" s="95" t="str">
        <x:v>showcase_url</x:v>
      </x:c>
    </x:row>
    <x:row r="5">
      <x:c r="A5" s="96" t="str">
        <x:v>PSK-001</x:v>
      </x:c>
      <x:c r="B5" s="97" t="str">
        <x:v>ПсковХаб</x:v>
      </x:c>
      <x:c r="C5" s="97" t="str">
        <x:v>+7 (921) 003-37-77</x:v>
      </x:c>
      <x:c r="D5" s="98" t="str">
        <x:v>https://qasite.ru/templates/auto-service/?client=pskov-001-pskovhab</x:v>
      </x:c>
      <x:c r="E5" s="99" t="str">
        <x:v>https://qasite.ru/templates/auto-service/showcase.html?client=pskov-001-pskovhab</x:v>
      </x:c>
    </x:row>
    <x:row r="6">
      <x:c r="A6" s="100" t="str">
        <x:v>PSK-002</x:v>
      </x:c>
      <x:c r="B6" s="101" t="str">
        <x:v>Автосервис на Рижском</x:v>
      </x:c>
      <x:c r="C6" s="101" t="str">
        <x:v>+7 (921) 703-36-03</x:v>
      </x:c>
      <x:c r="D6" s="102" t="str">
        <x:v>https://qasite.ru/templates/auto-service/?client=pskov-002-avtoservis-na-rizhskom</x:v>
      </x:c>
      <x:c r="E6" s="103" t="str">
        <x:v>https://qasite.ru/templates/auto-service/showcase.html?client=pskov-002-avtoservis-na-rizhskom</x:v>
      </x:c>
    </x:row>
    <x:row r="7">
      <x:c r="A7" s="100" t="str">
        <x:v>PSK-003</x:v>
      </x:c>
      <x:c r="B7" s="101" t="str">
        <x:v>Сервисный центр</x:v>
      </x:c>
      <x:c r="C7" s="101" t="str">
        <x:v>+7 (953) 236-22-22</x:v>
      </x:c>
      <x:c r="D7" s="102" t="str">
        <x:v>https://qasite.ru/templates/auto-service/?client=pskov-003-servisnyy-tsentr</x:v>
      </x:c>
      <x:c r="E7" s="103" t="str">
        <x:v>https://qasite.ru/templates/auto-service/showcase.html?client=pskov-003-servisnyy-tsentr</x:v>
      </x:c>
    </x:row>
    <x:row r="8">
      <x:c r="A8" s="100" t="str">
        <x:v>PSK-004</x:v>
      </x:c>
      <x:c r="B8" s="101" t="str">
        <x:v>Запчасти Тут</x:v>
      </x:c>
      <x:c r="C8" s="101" t="str">
        <x:v>+7 (906) 221-47-50</x:v>
      </x:c>
      <x:c r="D8" s="102" t="str">
        <x:v>https://qasite.ru/templates/auto-service/?client=pskov-004-zapchasti-tut</x:v>
      </x:c>
      <x:c r="E8" s="103" t="str">
        <x:v>https://qasite.ru/templates/auto-service/showcase.html?client=pskov-004-zapchasti-tut</x:v>
      </x:c>
    </x:row>
    <x:row r="9">
      <x:c r="A9" s="100" t="str">
        <x:v>PSK-005</x:v>
      </x:c>
      <x:c r="B9" s="101" t="str">
        <x:v>ТТК глушители</x:v>
      </x:c>
      <x:c r="C9" s="101" t="str">
        <x:v>+7 (906) 222-83-49</x:v>
      </x:c>
      <x:c r="D9" s="102" t="str">
        <x:v>https://qasite.ru/templates/auto-service/?client=pskov-005-ttk-glushiteli</x:v>
      </x:c>
      <x:c r="E9" s="103" t="str">
        <x:v>https://qasite.ru/templates/auto-service/showcase.html?client=pskov-005-ttk-glushiteli</x:v>
      </x:c>
    </x:row>
    <x:row r="10">
      <x:c r="A10" s="100" t="str">
        <x:v>PSK-006</x:v>
      </x:c>
      <x:c r="B10" s="101" t="str">
        <x:v>Мотор</x:v>
      </x:c>
      <x:c r="C10" s="101" t="str">
        <x:v>+7 (953) 243-74-74</x:v>
      </x:c>
      <x:c r="D10" s="102" t="str">
        <x:v>https://qasite.ru/templates/auto-service/?client=pskov-006-motor</x:v>
      </x:c>
      <x:c r="E10" s="103" t="str">
        <x:v>https://qasite.ru/templates/auto-service/showcase.html?client=pskov-006-motor</x:v>
      </x:c>
    </x:row>
    <x:row r="11">
      <x:c r="A11" s="100" t="str">
        <x:v>PSK-007</x:v>
      </x:c>
      <x:c r="B11" s="101" t="str">
        <x:v>Джем</x:v>
      </x:c>
      <x:c r="C11" s="101" t="str">
        <x:v>+7 (921) 119-44-04</x:v>
      </x:c>
      <x:c r="D11" s="102" t="str">
        <x:v>https://qasite.ru/templates/auto-service/?client=pskov-007-dzhem</x:v>
      </x:c>
      <x:c r="E11" s="103" t="str">
        <x:v>https://qasite.ru/templates/auto-service/showcase.html?client=pskov-007-dzhem</x:v>
      </x:c>
    </x:row>
    <x:row r="12">
      <x:c r="A12" s="100" t="str">
        <x:v>PSK-008</x:v>
      </x:c>
      <x:c r="B12" s="101" t="str">
        <x:v>Роад60</x:v>
      </x:c>
      <x:c r="C12" s="101" t="str">
        <x:v>+7 (951) 757-08-88</x:v>
      </x:c>
      <x:c r="D12" s="102" t="str">
        <x:v>https://qasite.ru/templates/auto-service/?client=pskov-008-road60</x:v>
      </x:c>
      <x:c r="E12" s="103" t="str">
        <x:v>https://qasite.ru/templates/auto-service/showcase.html?client=pskov-008-road60</x:v>
      </x:c>
    </x:row>
    <x:row r="13">
      <x:c r="A13" s="100" t="str">
        <x:v>PSK-009</x:v>
      </x:c>
      <x:c r="B13" s="101" t="str">
        <x:v>На высоте</x:v>
      </x:c>
      <x:c r="C13" s="101" t="str">
        <x:v>+7 (905) 295-46-03</x:v>
      </x:c>
      <x:c r="D13" s="102" t="str">
        <x:v>https://qasite.ru/templates/auto-service/?client=pskov-009-na-vysote</x:v>
      </x:c>
      <x:c r="E13" s="103" t="str">
        <x:v>https://qasite.ru/templates/auto-service/showcase.html?client=pskov-009-na-vysote</x:v>
      </x:c>
    </x:row>
    <x:row r="14">
      <x:c r="A14" s="100" t="str">
        <x:v>PSK-010</x:v>
      </x:c>
      <x:c r="B14" s="101" t="str">
        <x:v>RemFar. psk</x:v>
      </x:c>
      <x:c r="C14" s="101" t="str">
        <x:v>+7 (931) 009-82-93</x:v>
      </x:c>
      <x:c r="D14" s="102" t="str">
        <x:v>https://qasite.ru/templates/auto-service/?client=pskov-010-remfar-psk</x:v>
      </x:c>
      <x:c r="E14" s="103" t="str">
        <x:v>https://qasite.ru/templates/auto-service/showcase.html?client=pskov-010-remfar-psk</x:v>
      </x:c>
    </x:row>
    <x:row r="15">
      <x:c r="A15" s="100" t="str">
        <x:v>PSK-011</x:v>
      </x:c>
      <x:c r="B15" s="101" t="str">
        <x:v>Драйв Плюс</x:v>
      </x:c>
      <x:c r="C15" s="101" t="str">
        <x:v>+7 (905) 295-99-96</x:v>
      </x:c>
      <x:c r="D15" s="102" t="str">
        <x:v>https://qasite.ru/templates/auto-service/?client=pskov-011-drayv-plyus</x:v>
      </x:c>
      <x:c r="E15" s="103" t="str">
        <x:v>https://qasite.ru/templates/auto-service/showcase.html?client=pskov-011-drayv-plyus</x:v>
      </x:c>
    </x:row>
    <x:row r="16">
      <x:c r="A16" s="100" t="str">
        <x:v>PSK-012</x:v>
      </x:c>
      <x:c r="B16" s="101" t="str">
        <x:v>Автосервис 24</x:v>
      </x:c>
      <x:c r="C16" s="101" t="str">
        <x:v>+7 (939) 409-90-08</x:v>
      </x:c>
      <x:c r="D16" s="102" t="str">
        <x:v>https://qasite.ru/templates/auto-service/?client=pskov-012-avtoservis-24</x:v>
      </x:c>
      <x:c r="E16" s="103" t="str">
        <x:v>https://qasite.ru/templates/auto-service/showcase.html?client=pskov-012-avtoservis-24</x:v>
      </x:c>
    </x:row>
    <x:row r="17">
      <x:c r="A17" s="100" t="str">
        <x:v>PSK-013</x:v>
      </x:c>
      <x:c r="B17" s="101" t="str">
        <x:v>Tes Auto</x:v>
      </x:c>
      <x:c r="C17" s="101" t="str">
        <x:v>+7 (921) 703-37-77</x:v>
      </x:c>
      <x:c r="D17" s="102" t="str">
        <x:v>https://qasite.ru/templates/auto-service/?client=pskov-013-tes-auto</x:v>
      </x:c>
      <x:c r="E17" s="103" t="str">
        <x:v>https://qasite.ru/templates/auto-service/showcase.html?client=pskov-013-tes-auto</x:v>
      </x:c>
    </x:row>
    <x:row r="18">
      <x:c r="A18" s="100" t="str">
        <x:v>PSK-014</x:v>
      </x:c>
      <x:c r="B18" s="101" t="str">
        <x:v>Электрон-авто</x:v>
      </x:c>
      <x:c r="C18" s="101" t="str">
        <x:v>+7 (909) 575-79-79</x:v>
      </x:c>
      <x:c r="D18" s="102" t="str">
        <x:v>https://qasite.ru/templates/auto-service/?client=pskov-014-elektron-avto</x:v>
      </x:c>
      <x:c r="E18" s="103" t="str">
        <x:v>https://qasite.ru/templates/auto-service/showcase.html?client=pskov-014-elektron-avto</x:v>
      </x:c>
    </x:row>
    <x:row r="19">
      <x:c r="A19" s="100" t="str">
        <x:v>PSK-015</x:v>
      </x:c>
      <x:c r="B19" s="101" t="str">
        <x:v>Автоэлектрик 60rus</x:v>
      </x:c>
      <x:c r="C19" s="101" t="str">
        <x:v>+7 (953) 233-52-98</x:v>
      </x:c>
      <x:c r="D19" s="102" t="str">
        <x:v>https://qasite.ru/templates/auto-service/?client=pskov-015-avtoelektrik-60rus</x:v>
      </x:c>
      <x:c r="E19" s="103" t="str">
        <x:v>https://qasite.ru/templates/auto-service/showcase.html?client=pskov-015-avtoelektrik-60rus</x:v>
      </x:c>
    </x:row>
    <x:row r="20">
      <x:c r="A20" s="100" t="str">
        <x:v>PSK-016</x:v>
      </x:c>
      <x:c r="B20" s="101" t="str">
        <x:v>Arv service</x:v>
      </x:c>
      <x:c r="C20" s="101" t="str">
        <x:v>+7 (921) 507-98-05</x:v>
      </x:c>
      <x:c r="D20" s="102" t="str">
        <x:v>https://qasite.ru/templates/auto-service/?client=pskov-016-arv-service</x:v>
      </x:c>
      <x:c r="E20" s="103" t="str">
        <x:v>https://qasite.ru/templates/auto-service/showcase.html?client=pskov-016-arv-service</x:v>
      </x:c>
    </x:row>
    <x:row r="21">
      <x:c r="A21" s="100" t="str">
        <x:v>PSK-017</x:v>
      </x:c>
      <x:c r="B21" s="101" t="str">
        <x:v>Ремонт АКПП</x:v>
      </x:c>
      <x:c r="C21" s="101" t="str">
        <x:v>+7 (953) 248-19-96</x:v>
      </x:c>
      <x:c r="D21" s="102" t="str">
        <x:v>https://qasite.ru/templates/auto-service/?client=pskov-017-remont-akpp</x:v>
      </x:c>
      <x:c r="E21" s="103" t="str">
        <x:v>https://qasite.ru/templates/auto-service/showcase.html?client=pskov-017-remont-akpp</x:v>
      </x:c>
    </x:row>
    <x:row r="22">
      <x:c r="A22" s="100" t="str">
        <x:v>PSK-018</x:v>
      </x:c>
      <x:c r="B22" s="101" t="str">
        <x:v>АнтиКор60</x:v>
      </x:c>
      <x:c r="C22" s="101" t="str">
        <x:v>+7 (900) 991-19-00</x:v>
      </x:c>
      <x:c r="D22" s="102" t="str">
        <x:v>https://qasite.ru/templates/auto-service/?client=pskov-018-antikor60</x:v>
      </x:c>
      <x:c r="E22" s="103" t="str">
        <x:v>https://qasite.ru/templates/auto-service/showcase.html?client=pskov-018-antikor60</x:v>
      </x:c>
    </x:row>
    <x:row r="23">
      <x:c r="A23" s="100" t="str">
        <x:v>PSK-019</x:v>
      </x:c>
      <x:c r="B23" s="101" t="str">
        <x:v>Start Plus</x:v>
      </x:c>
      <x:c r="C23" s="101" t="str">
        <x:v>+7 (921) 003-43-46</x:v>
      </x:c>
      <x:c r="D23" s="102" t="str">
        <x:v>https://qasite.ru/templates/auto-service/?client=pskov-019-start-plus</x:v>
      </x:c>
      <x:c r="E23" s="103" t="str">
        <x:v>https://qasite.ru/templates/auto-service/showcase.html?client=pskov-019-start-plus</x:v>
      </x:c>
    </x:row>
    <x:row r="24">
      <x:c r="A24" s="100" t="str">
        <x:v>PSK-020</x:v>
      </x:c>
      <x:c r="B24" s="101" t="str">
        <x:v>Правильный Авторемонт</x:v>
      </x:c>
      <x:c r="C24" s="101" t="str">
        <x:v>+7 (921) 003-70-33</x:v>
      </x:c>
      <x:c r="D24" s="102" t="str">
        <x:v>https://qasite.ru/templates/auto-service/?client=pskov-020-pravilnyy-avtoremont</x:v>
      </x:c>
      <x:c r="E24" s="103" t="str">
        <x:v>https://qasite.ru/templates/auto-service/showcase.html?client=pskov-020-pravilnyy-avtoremont</x:v>
      </x:c>
    </x:row>
    <x:row r="25">
      <x:c r="A25" s="100" t="str">
        <x:v>PSK-021</x:v>
      </x:c>
      <x:c r="B25" s="101" t="str">
        <x:v>Стартёры и Генераторы</x:v>
      </x:c>
      <x:c r="C25" s="101" t="str">
        <x:v>+7 (911) 365-15-42</x:v>
      </x:c>
      <x:c r="D25" s="102" t="str">
        <x:v>https://qasite.ru/templates/auto-service/?client=pskov-021-startery-i-generatory</x:v>
      </x:c>
      <x:c r="E25" s="103" t="str">
        <x:v>https://qasite.ru/templates/auto-service/showcase.html?client=pskov-021-startery-i-generatory</x:v>
      </x:c>
    </x:row>
    <x:row r="26">
      <x:c r="A26" s="100" t="str">
        <x:v>PSK-022</x:v>
      </x:c>
      <x:c r="B26" s="101" t="str">
        <x:v>Vroom Vroom Avto</x:v>
      </x:c>
      <x:c r="C26" s="101" t="str">
        <x:v>+7 (911) 898-69-16</x:v>
      </x:c>
      <x:c r="D26" s="102" t="str">
        <x:v>https://qasite.ru/templates/auto-service/?client=pskov-022-vroom-vroom-avto</x:v>
      </x:c>
      <x:c r="E26" s="103" t="str">
        <x:v>https://qasite.ru/templates/auto-service/showcase.html?client=pskov-022-vroom-vroom-avto</x:v>
      </x:c>
    </x:row>
    <x:row r="27">
      <x:c r="A27" s="100" t="str">
        <x:v>PSK-023</x:v>
      </x:c>
      <x:c r="B27" s="101" t="str">
        <x:v>Киг-37</x:v>
      </x:c>
      <x:c r="C27" s="101" t="str">
        <x:v>+7 (909) 576-60-00</x:v>
      </x:c>
      <x:c r="D27" s="102" t="str">
        <x:v>https://qasite.ru/templates/auto-service/?client=pskov-023-kig-37</x:v>
      </x:c>
      <x:c r="E27" s="103" t="str">
        <x:v>https://qasite.ru/templates/auto-service/showcase.html?client=pskov-023-kig-37</x:v>
      </x:c>
    </x:row>
    <x:row r="28">
      <x:c r="A28" s="100" t="str">
        <x:v>PSK-024</x:v>
      </x:c>
      <x:c r="B28" s="101" t="str">
        <x:v>Форсаж - автосервис, запчасти для иномарок</x:v>
      </x:c>
      <x:c r="C28" s="101" t="str">
        <x:v>+7 (953) 232-26-26</x:v>
      </x:c>
      <x:c r="D28" s="102" t="str">
        <x:v>https://qasite.ru/templates/auto-service/?client=pskov-024-forsazh-avtoservis-zapchasti-dlya-inomar</x:v>
      </x:c>
      <x:c r="E28" s="103" t="str">
        <x:v>https://qasite.ru/templates/auto-service/showcase.html?client=pskov-024-forsazh-avtoservis-zapchasti-dlya-inomar</x:v>
      </x:c>
    </x:row>
    <x:row r="29">
      <x:c r="A29" s="100" t="str">
        <x:v>PSK-025</x:v>
      </x:c>
      <x:c r="B29" s="101" t="str">
        <x:v>Five Servise</x:v>
      </x:c>
      <x:c r="C29" s="101" t="str">
        <x:v>+7 (911) 398-95-66</x:v>
      </x:c>
      <x:c r="D29" s="102" t="str">
        <x:v>https://qasite.ru/templates/auto-service/?client=pskov-025-five-servise</x:v>
      </x:c>
      <x:c r="E29" s="103" t="str">
        <x:v>https://qasite.ru/templates/auto-service/showcase.html?client=pskov-025-five-servise</x:v>
      </x:c>
    </x:row>
    <x:row r="30">
      <x:c r="A30" s="100" t="str">
        <x:v>PSK-026</x:v>
      </x:c>
      <x:c r="B30" s="101" t="str">
        <x:v>На 5 с плюсом</x:v>
      </x:c>
      <x:c r="C30" s="101" t="str">
        <x:v>+7 (911) 398-90-60</x:v>
      </x:c>
      <x:c r="D30" s="102" t="str">
        <x:v>https://qasite.ru/templates/auto-service/?client=pskov-026-na-5-s-plyusom</x:v>
      </x:c>
      <x:c r="E30" s="103" t="str">
        <x:v>https://qasite.ru/templates/auto-service/showcase.html?client=pskov-026-na-5-s-plyusom</x:v>
      </x:c>
    </x:row>
    <x:row r="31">
      <x:c r="A31" s="100" t="str">
        <x:v>PSK-027</x:v>
      </x:c>
      <x:c r="B31" s="101" t="str">
        <x:v>АВТОвыхлоп</x:v>
      </x:c>
      <x:c r="C31" s="101" t="str">
        <x:v>+7 (951) 754-86-06</x:v>
      </x:c>
      <x:c r="D31" s="102" t="str">
        <x:v>https://qasite.ru/templates/auto-service/?client=pskov-027-avtovyhlop</x:v>
      </x:c>
      <x:c r="E31" s="103" t="str">
        <x:v>https://qasite.ru/templates/auto-service/showcase.html?client=pskov-027-avtovyhlop</x:v>
      </x:c>
    </x:row>
    <x:row r="32">
      <x:c r="A32" s="100" t="str">
        <x:v>PSK-028</x:v>
      </x:c>
      <x:c r="B32" s="101" t="str">
        <x:v>Мастер Дизель Псков</x:v>
      </x:c>
      <x:c r="C32" s="101" t="str">
        <x:v>+7 (921) 003-03-08</x:v>
      </x:c>
      <x:c r="D32" s="102" t="str">
        <x:v>https://qasite.ru/templates/auto-service/?client=pskov-028-master-dizel-pskov</x:v>
      </x:c>
      <x:c r="E32" s="103" t="str">
        <x:v>https://qasite.ru/templates/auto-service/showcase.html?client=pskov-028-master-dizel-pskov</x:v>
      </x:c>
    </x:row>
    <x:row r="33">
      <x:c r="A33" s="100" t="str">
        <x:v>PSK-029</x:v>
      </x:c>
      <x:c r="B33" s="101" t="str">
        <x:v>ТракСервис</x:v>
      </x:c>
      <x:c r="C33" s="101" t="str">
        <x:v>+7 (931) 901-74-77</x:v>
      </x:c>
      <x:c r="D33" s="102" t="str">
        <x:v>https://qasite.ru/templates/auto-service/?client=pskov-029-trakservis</x:v>
      </x:c>
      <x:c r="E33" s="103" t="str">
        <x:v>https://qasite.ru/templates/auto-service/showcase.html?client=pskov-029-trakservis</x:v>
      </x:c>
    </x:row>
    <x:row r="34">
      <x:c r="A34" s="100" t="str">
        <x:v>PSK-030</x:v>
      </x:c>
      <x:c r="B34" s="101" t="str">
        <x:v>Мб Моторс</x:v>
      </x:c>
      <x:c r="C34" s="101" t="str">
        <x:v>+7 (911) 358-59-99</x:v>
      </x:c>
      <x:c r="D34" s="102" t="str">
        <x:v>https://qasite.ru/templates/auto-service/?client=pskov-030-mb-motors</x:v>
      </x:c>
      <x:c r="E34" s="103" t="str">
        <x:v>https://qasite.ru/templates/auto-service/showcase.html?client=pskov-030-mb-motors</x:v>
      </x:c>
    </x:row>
    <x:row r="35">
      <x:c r="A35" s="100" t="str">
        <x:v>PSK-031</x:v>
      </x:c>
      <x:c r="B35" s="101" t="str">
        <x:v>Remcar60</x:v>
      </x:c>
      <x:c r="C35" s="101" t="str">
        <x:v>+7 (960) 224-71-94</x:v>
      </x:c>
      <x:c r="D35" s="102" t="str">
        <x:v>https://qasite.ru/templates/auto-service/?client=pskov-031-remcar60</x:v>
      </x:c>
      <x:c r="E35" s="103" t="str">
        <x:v>https://qasite.ru/templates/auto-service/showcase.html?client=pskov-031-remcar60</x:v>
      </x:c>
    </x:row>
    <x:row r="36">
      <x:c r="A36" s="100" t="str">
        <x:v>PSK-032</x:v>
      </x:c>
      <x:c r="B36" s="101" t="str">
        <x:v>Сервис. Перевозчик. 60</x:v>
      </x:c>
      <x:c r="C36" s="101" t="str">
        <x:v>+7 (921) 500-00-60</x:v>
      </x:c>
      <x:c r="D36" s="102" t="str">
        <x:v>https://qasite.ru/templates/auto-service/?client=pskov-032-servis-perevozchik-60</x:v>
      </x:c>
      <x:c r="E36" s="103" t="str">
        <x:v>https://qasite.ru/templates/auto-service/showcase.html?client=pskov-032-servis-perevozchik-60</x:v>
      </x:c>
    </x:row>
    <x:row r="37">
      <x:c r="A37" s="100" t="str">
        <x:v>PSK-033</x:v>
      </x:c>
      <x:c r="B37" s="101" t="str">
        <x:v>Машсервис</x:v>
      </x:c>
      <x:c r="C37" s="101" t="str">
        <x:v>+7 (960) 222-31-70</x:v>
      </x:c>
      <x:c r="D37" s="102" t="str">
        <x:v>https://qasite.ru/templates/auto-service/?client=pskov-033-mashservis</x:v>
      </x:c>
      <x:c r="E37" s="103" t="str">
        <x:v>https://qasite.ru/templates/auto-service/showcase.html?client=pskov-033-mashservis</x:v>
      </x:c>
    </x:row>
    <x:row r="38">
      <x:c r="A38" s="100" t="str">
        <x:v>PSK-034</x:v>
      </x:c>
      <x:c r="B38" s="101" t="str">
        <x:v>АвтоВольт</x:v>
      </x:c>
      <x:c r="C38" s="101" t="str">
        <x:v>+7 (909) 573-77-00</x:v>
      </x:c>
      <x:c r="D38" s="102" t="str">
        <x:v>https://qasite.ru/templates/auto-service/?client=pskov-034-avtovolt</x:v>
      </x:c>
      <x:c r="E38" s="103" t="str">
        <x:v>https://qasite.ru/templates/auto-service/showcase.html?client=pskov-034-avtovolt</x:v>
      </x:c>
    </x:row>
    <x:row r="39">
      <x:c r="A39" s="100" t="str">
        <x:v>PSK-035</x:v>
      </x:c>
      <x:c r="B39" s="101" t="str">
        <x:v>Автосервис Борисовичи</x:v>
      </x:c>
      <x:c r="C39" s="101" t="str">
        <x:v>+7 (911) 883-37-63</x:v>
      </x:c>
      <x:c r="D39" s="102" t="str">
        <x:v>https://qasite.ru/templates/auto-service/?client=pskov-035-avtoservis-borisovichi</x:v>
      </x:c>
      <x:c r="E39" s="103" t="str">
        <x:v>https://qasite.ru/templates/auto-service/showcase.html?client=pskov-035-avtoservis-borisovichi</x:v>
      </x:c>
    </x:row>
    <x:row r="40">
      <x:c r="A40" s="100" t="str">
        <x:v>PSK-036</x:v>
      </x:c>
      <x:c r="B40" s="101" t="str">
        <x:v>Автомастерская Quattro60</x:v>
      </x:c>
      <x:c r="C40" s="101" t="str">
        <x:v>+7 (911) 369-36-67</x:v>
      </x:c>
      <x:c r="D40" s="102" t="str">
        <x:v>https://qasite.ru/templates/auto-service/?client=pskov-036-avtomasterskaya-quattro60</x:v>
      </x:c>
      <x:c r="E40" s="103" t="str">
        <x:v>https://qasite.ru/templates/auto-service/showcase.html?client=pskov-036-avtomasterskaya-quattro60</x:v>
      </x:c>
    </x:row>
    <x:row r="41">
      <x:c r="A41" s="100" t="str">
        <x:v>PSK-037</x:v>
      </x:c>
      <x:c r="B41" s="101" t="str">
        <x:v>Автосервис ЕвроСервис</x:v>
      </x:c>
      <x:c r="C41" s="101" t="str">
        <x:v>+7 (906) 220-37-44</x:v>
      </x:c>
      <x:c r="D41" s="102" t="str">
        <x:v>https://qasite.ru/templates/auto-service/?client=pskov-037-avtoservis-evroservis</x:v>
      </x:c>
      <x:c r="E41" s="103" t="str">
        <x:v>https://qasite.ru/templates/auto-service/showcase.html?client=pskov-037-avtoservis-evroservis</x:v>
      </x:c>
    </x:row>
    <x:row r="42">
      <x:c r="A42" s="100" t="str">
        <x:v>PSK-038</x:v>
      </x:c>
      <x:c r="B42" s="101" t="str">
        <x:v>Motor Head</x:v>
      </x:c>
      <x:c r="C42" s="101" t="str">
        <x:v>+7 (900) 991-10-16</x:v>
      </x:c>
      <x:c r="D42" s="102" t="str">
        <x:v>https://qasite.ru/templates/auto-service/?client=pskov-038-motor-head</x:v>
      </x:c>
      <x:c r="E42" s="103" t="str">
        <x:v>https://qasite.ru/templates/auto-service/showcase.html?client=pskov-038-motor-head</x:v>
      </x:c>
    </x:row>
    <x:row r="43">
      <x:c r="A43" s="100" t="str">
        <x:v>PSK-039</x:v>
      </x:c>
      <x:c r="B43" s="101" t="str">
        <x:v>Car House 60</x:v>
      </x:c>
      <x:c r="C43" s="101" t="str">
        <x:v>+7 (953) 245-10-45</x:v>
      </x:c>
      <x:c r="D43" s="102" t="str">
        <x:v>https://qasite.ru/templates/auto-service/?client=pskov-039-car-house-60</x:v>
      </x:c>
      <x:c r="E43" s="103" t="str">
        <x:v>https://qasite.ru/templates/auto-service/showcase.html?client=pskov-039-car-house-60</x:v>
      </x:c>
    </x:row>
    <x:row r="44">
      <x:c r="A44" s="100" t="str">
        <x:v>PSK-040</x:v>
      </x:c>
      <x:c r="B44" s="101" t="str">
        <x:v>Vir Tex Auto</x:v>
      </x:c>
      <x:c r="C44" s="101" t="str">
        <x:v>+7 (911) 392-09-62</x:v>
      </x:c>
      <x:c r="D44" s="102" t="str">
        <x:v>https://qasite.ru/templates/auto-service/?client=pskov-040-vir-tex-auto</x:v>
      </x:c>
      <x:c r="E44" s="103" t="str">
        <x:v>https://qasite.ru/templates/auto-service/showcase.html?client=pskov-040-vir-tex-auto</x:v>
      </x:c>
    </x:row>
    <x:row r="45">
      <x:c r="A45" s="100" t="str">
        <x:v>PSK-041</x:v>
      </x:c>
      <x:c r="B45" s="101" t="str">
        <x:v>Ротор</x:v>
      </x:c>
      <x:c r="C45" s="101" t="str">
        <x:v>+7 (921) 004-15-20</x:v>
      </x:c>
      <x:c r="D45" s="102" t="str">
        <x:v>https://qasite.ru/templates/auto-service/?client=pskov-041-rotor</x:v>
      </x:c>
      <x:c r="E45" s="103" t="str">
        <x:v>https://qasite.ru/templates/auto-service/showcase.html?client=pskov-041-rotor</x:v>
      </x:c>
    </x:row>
    <x:row r="46">
      <x:c r="A46" s="100" t="str">
        <x:v>PSK-042</x:v>
      </x:c>
      <x:c r="B46" s="101" t="str">
        <x:v>Avto Service Дизелей</x:v>
      </x:c>
      <x:c r="C46" s="101" t="str">
        <x:v>+7 (911) 881-26-62</x:v>
      </x:c>
      <x:c r="D46" s="102" t="str">
        <x:v>https://qasite.ru/templates/auto-service/?client=pskov-042-avto-service-dizeley</x:v>
      </x:c>
      <x:c r="E46" s="103" t="str">
        <x:v>https://qasite.ru/templates/auto-service/showcase.html?client=pskov-042-avto-service-dizeley</x:v>
      </x:c>
    </x:row>
    <x:row r="47">
      <x:c r="A47" s="100" t="str">
        <x:v>PSK-043</x:v>
      </x:c>
      <x:c r="B47" s="101" t="str">
        <x:v>Авторемонт</x:v>
      </x:c>
      <x:c r="C47" s="101" t="str">
        <x:v>+7 (921) 503-86-24</x:v>
      </x:c>
      <x:c r="D47" s="102" t="str">
        <x:v>https://qasite.ru/templates/auto-service/?client=pskov-043-avtoremont</x:v>
      </x:c>
      <x:c r="E47" s="103" t="str">
        <x:v>https://qasite.ru/templates/auto-service/showcase.html?client=pskov-043-avtoremont</x:v>
      </x:c>
    </x:row>
    <x:row r="48">
      <x:c r="A48" s="100" t="str">
        <x:v>PSK-044</x:v>
      </x:c>
      <x:c r="B48" s="101" t="str">
        <x:v>Эпицентр</x:v>
      </x:c>
      <x:c r="C48" s="101" t="str">
        <x:v>+7 (960) 229-96-22</x:v>
      </x:c>
      <x:c r="D48" s="102" t="str">
        <x:v>https://qasite.ru/templates/auto-service/?client=pskov-044-epitsentr</x:v>
      </x:c>
      <x:c r="E48" s="103" t="str">
        <x:v>https://qasite.ru/templates/auto-service/showcase.html?client=pskov-044-epitsentr</x:v>
      </x:c>
    </x:row>
    <x:row r="49">
      <x:c r="A49" s="100" t="str">
        <x:v>PSK-045</x:v>
      </x:c>
      <x:c r="B49" s="101" t="str">
        <x:v>Akpp-dsg-service</x:v>
      </x:c>
      <x:c r="C49" s="101" t="str">
        <x:v>+7 (969) 777-48-96</x:v>
      </x:c>
      <x:c r="D49" s="102" t="str">
        <x:v>https://qasite.ru/templates/auto-service/?client=pskov-045-akpp-dsg-service</x:v>
      </x:c>
      <x:c r="E49" s="103" t="str">
        <x:v>https://qasite.ru/templates/auto-service/showcase.html?client=pskov-045-akpp-dsg-service</x:v>
      </x:c>
    </x:row>
    <x:row r="50">
      <x:c r="A50" s="100" t="str">
        <x:v>PSK-046</x:v>
      </x:c>
      <x:c r="B50" s="101" t="str">
        <x:v>Гаечка. Рус</x:v>
      </x:c>
      <x:c r="C50" s="101" t="str">
        <x:v>+7 (953) 230-00-07</x:v>
      </x:c>
      <x:c r="D50" s="102" t="str">
        <x:v>https://qasite.ru/templates/auto-service/?client=pskov-046-gaechka-rus</x:v>
      </x:c>
      <x:c r="E50" s="103" t="str">
        <x:v>https://qasite.ru/templates/auto-service/showcase.html?client=pskov-046-gaechka-rus</x:v>
      </x:c>
    </x:row>
    <x:row r="51">
      <x:c r="A51" s="100" t="str">
        <x:v>PSK-047</x:v>
      </x:c>
      <x:c r="B51" s="101" t="str">
        <x:v>Квазар</x:v>
      </x:c>
      <x:c r="C51" s="101" t="str">
        <x:v>+7 (953) 233-33-73</x:v>
      </x:c>
      <x:c r="D51" s="102" t="str">
        <x:v>https://qasite.ru/templates/auto-service/?client=pskov-047-kvazar</x:v>
      </x:c>
      <x:c r="E51" s="103" t="str">
        <x:v>https://qasite.ru/templates/auto-service/showcase.html?client=pskov-047-kvazar</x:v>
      </x:c>
    </x:row>
    <x:row r="52">
      <x:c r="A52" s="100" t="str">
        <x:v>PSK-048</x:v>
      </x:c>
      <x:c r="B52" s="101" t="str">
        <x:v>Автосервис для иномарок</x:v>
      </x:c>
      <x:c r="C52" s="101" t="str">
        <x:v>+7 (909) 576-60-65</x:v>
      </x:c>
      <x:c r="D52" s="102" t="str">
        <x:v>https://qasite.ru/templates/auto-service/?client=pskov-048-avtoservis-dlya-inomarok</x:v>
      </x:c>
      <x:c r="E52" s="103" t="str">
        <x:v>https://qasite.ru/templates/auto-service/showcase.html?client=pskov-048-avtoservis-dlya-inomarok</x:v>
      </x:c>
    </x:row>
    <x:row r="53">
      <x:c r="A53" s="100" t="str">
        <x:v>PSK-049</x:v>
      </x:c>
      <x:c r="B53" s="101" t="str">
        <x:v>Авторемонт</x:v>
      </x:c>
      <x:c r="C53" s="101" t="str">
        <x:v>+7 (911) 368-51-75</x:v>
      </x:c>
      <x:c r="D53" s="102" t="str">
        <x:v>https://qasite.ru/templates/auto-service/?client=pskov-049-avtoremont</x:v>
      </x:c>
      <x:c r="E53" s="103" t="str">
        <x:v>https://qasite.ru/templates/auto-service/showcase.html?client=pskov-049-avtoremont</x:v>
      </x:c>
    </x:row>
    <x:row r="54">
      <x:c r="A54" s="104" t="str">
        <x:v>PSK-050</x:v>
      </x:c>
      <x:c r="B54" s="105" t="str">
        <x:v>Profservis60</x:v>
      </x:c>
      <x:c r="C54" s="105" t="str">
        <x:v>+7 (953) 240-06-60</x:v>
      </x:c>
      <x:c r="D54" s="106" t="str">
        <x:v>https://qasite.ru/templates/auto-service/?client=pskov-050-profservis60</x:v>
      </x:c>
      <x:c r="E54" s="107" t="str">
        <x:v>https://qasite.ru/templates/auto-service/showcase.html?client=pskov-050-profservis60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ff744617cbd0438a"/>
  </x:tableParts>
</x:worksheet>
</file>